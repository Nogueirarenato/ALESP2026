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enatoNSilva\Documents\ALESP2026\154-2026\Primeira Análise\"/>
    </mc:Choice>
  </mc:AlternateContent>
  <xr:revisionPtr revIDLastSave="0" documentId="13_ncr:1_{93FDA28E-C091-48FB-AF28-0B35743A381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17-0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N80" i="1" s="1"/>
  <c r="L5" i="1"/>
  <c r="N15" i="1" l="1"/>
  <c r="N79" i="1"/>
  <c r="N67" i="1"/>
  <c r="N38" i="1"/>
  <c r="N35" i="1"/>
  <c r="N26" i="1"/>
  <c r="N22" i="1"/>
</calcChain>
</file>

<file path=xl/sharedStrings.xml><?xml version="1.0" encoding="utf-8"?>
<sst xmlns="http://schemas.openxmlformats.org/spreadsheetml/2006/main" count="102" uniqueCount="15">
  <si>
    <t>Empresa</t>
  </si>
  <si>
    <t>Lote</t>
  </si>
  <si>
    <t>Item</t>
  </si>
  <si>
    <t>Análise</t>
  </si>
  <si>
    <t>Preço Unitário</t>
  </si>
  <si>
    <t>Quantidade</t>
  </si>
  <si>
    <t>Total</t>
  </si>
  <si>
    <t>VICTORIOUS COMERCIAL LTDA</t>
  </si>
  <si>
    <t>AF3 COMERCIAL LTDA</t>
  </si>
  <si>
    <t>CONSTRUMIX DEPÓSITO DE MATERIAIS
PARA CONSTRUÇÕES LTDA</t>
  </si>
  <si>
    <t>total =</t>
  </si>
  <si>
    <t>OK</t>
  </si>
  <si>
    <t>Atende ao solicitado;</t>
  </si>
  <si>
    <t>Atende ao solicitado. Conforme catálogo enviado o fabricante deve ser Sindal, uma vez que a metaltex não fornece esse item.</t>
  </si>
  <si>
    <t>Atende ao solicitado. Conforme catálogo enviado o fabricante deve ser Tramontina, uma vez que a metaltex não fornece esse item.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</si>
</sst>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/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/>
    <xf numFmtId="0" fontId="0" fillId="2" borderId="9" xfId="0" applyFill="1" applyBorder="1" applyAlignment="1">
      <alignment vertical="center"/>
    </xf>
    <xf numFmtId="0" fontId="0" fillId="2" borderId="10" xfId="0" applyFill="1" applyBorder="1"/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9" xfId="0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O80"/>
  <sheetViews>
    <sheetView tabSelected="1" topLeftCell="A68" workbookViewId="0">
      <selection activeCell="C4" sqref="C4:F80"/>
    </sheetView>
  </sheetViews>
  <sheetFormatPr defaultRowHeight="15" x14ac:dyDescent="0.25"/>
  <cols>
    <col min="1" max="2" width="9.140625" style="1"/>
    <col min="3" max="3" width="42.42578125" style="1" customWidth="1"/>
    <col min="4" max="4" width="9.5703125" style="6" customWidth="1"/>
    <col min="5" max="5" width="9.140625" style="6"/>
    <col min="6" max="6" width="67.5703125" style="5" customWidth="1"/>
    <col min="7" max="9" width="9.140625" style="1"/>
    <col min="10" max="10" width="17.42578125" style="4" customWidth="1"/>
    <col min="11" max="11" width="20.85546875" style="4" customWidth="1"/>
    <col min="12" max="12" width="10.7109375" style="10" bestFit="1" customWidth="1"/>
    <col min="13" max="13" width="9.140625" style="1"/>
    <col min="14" max="14" width="10.7109375" style="1" bestFit="1" customWidth="1"/>
    <col min="15" max="16384" width="9.140625" style="1"/>
  </cols>
  <sheetData>
    <row r="3" spans="3:15" ht="15.75" thickBot="1" x14ac:dyDescent="0.3"/>
    <row r="4" spans="3:15" ht="16.5" thickBot="1" x14ac:dyDescent="0.3">
      <c r="C4" s="24" t="s">
        <v>0</v>
      </c>
      <c r="D4" s="25" t="s">
        <v>1</v>
      </c>
      <c r="E4" s="25" t="s">
        <v>2</v>
      </c>
      <c r="F4" s="26" t="s">
        <v>3</v>
      </c>
      <c r="J4" s="2" t="s">
        <v>4</v>
      </c>
      <c r="K4" s="8" t="s">
        <v>5</v>
      </c>
      <c r="L4" s="2" t="s">
        <v>6</v>
      </c>
    </row>
    <row r="5" spans="3:15" x14ac:dyDescent="0.25">
      <c r="C5" s="15" t="s">
        <v>7</v>
      </c>
      <c r="D5" s="16">
        <v>1</v>
      </c>
      <c r="E5" s="16">
        <v>1</v>
      </c>
      <c r="F5" s="17" t="s">
        <v>12</v>
      </c>
      <c r="J5" s="9">
        <v>25</v>
      </c>
      <c r="K5" s="8">
        <v>5</v>
      </c>
      <c r="L5" s="9">
        <f>K5*J5</f>
        <v>125</v>
      </c>
    </row>
    <row r="6" spans="3:15" x14ac:dyDescent="0.25">
      <c r="C6" s="18"/>
      <c r="D6" s="3">
        <v>1</v>
      </c>
      <c r="E6" s="3">
        <v>2</v>
      </c>
      <c r="F6" s="19" t="s">
        <v>12</v>
      </c>
      <c r="J6" s="9">
        <v>20</v>
      </c>
      <c r="K6" s="8">
        <v>5</v>
      </c>
      <c r="L6" s="9">
        <f t="shared" ref="L6:L69" si="0">K6*J6</f>
        <v>100</v>
      </c>
    </row>
    <row r="7" spans="3:15" x14ac:dyDescent="0.25">
      <c r="C7" s="18"/>
      <c r="D7" s="3">
        <v>1</v>
      </c>
      <c r="E7" s="3">
        <v>3</v>
      </c>
      <c r="F7" s="19" t="s">
        <v>12</v>
      </c>
      <c r="J7" s="9">
        <v>3</v>
      </c>
      <c r="K7" s="8">
        <v>100</v>
      </c>
      <c r="L7" s="9">
        <f t="shared" si="0"/>
        <v>300</v>
      </c>
    </row>
    <row r="8" spans="3:15" x14ac:dyDescent="0.25">
      <c r="C8" s="18"/>
      <c r="D8" s="3">
        <v>1</v>
      </c>
      <c r="E8" s="3">
        <v>4</v>
      </c>
      <c r="F8" s="19" t="s">
        <v>12</v>
      </c>
      <c r="J8" s="9">
        <v>5.66</v>
      </c>
      <c r="K8" s="8">
        <v>250</v>
      </c>
      <c r="L8" s="9">
        <f t="shared" si="0"/>
        <v>1415</v>
      </c>
    </row>
    <row r="9" spans="3:15" x14ac:dyDescent="0.25">
      <c r="C9" s="18"/>
      <c r="D9" s="3">
        <v>1</v>
      </c>
      <c r="E9" s="3">
        <v>5</v>
      </c>
      <c r="F9" s="19" t="s">
        <v>12</v>
      </c>
      <c r="J9" s="9">
        <v>5</v>
      </c>
      <c r="K9" s="8">
        <v>50</v>
      </c>
      <c r="L9" s="9">
        <f t="shared" si="0"/>
        <v>250</v>
      </c>
    </row>
    <row r="10" spans="3:15" x14ac:dyDescent="0.25">
      <c r="C10" s="18"/>
      <c r="D10" s="3">
        <v>1</v>
      </c>
      <c r="E10" s="3">
        <v>6</v>
      </c>
      <c r="F10" s="19" t="s">
        <v>12</v>
      </c>
      <c r="J10" s="9">
        <v>2</v>
      </c>
      <c r="K10" s="8">
        <v>50</v>
      </c>
      <c r="L10" s="9">
        <f t="shared" si="0"/>
        <v>100</v>
      </c>
    </row>
    <row r="11" spans="3:15" x14ac:dyDescent="0.25">
      <c r="C11" s="18"/>
      <c r="D11" s="3">
        <v>1</v>
      </c>
      <c r="E11" s="3">
        <v>7</v>
      </c>
      <c r="F11" s="19" t="s">
        <v>12</v>
      </c>
      <c r="J11" s="9">
        <v>10</v>
      </c>
      <c r="K11" s="8">
        <v>50</v>
      </c>
      <c r="L11" s="9">
        <f t="shared" si="0"/>
        <v>500</v>
      </c>
    </row>
    <row r="12" spans="3:15" x14ac:dyDescent="0.25">
      <c r="C12" s="18"/>
      <c r="D12" s="3">
        <v>1</v>
      </c>
      <c r="E12" s="3">
        <v>8</v>
      </c>
      <c r="F12" s="19" t="s">
        <v>12</v>
      </c>
      <c r="J12" s="9">
        <v>4</v>
      </c>
      <c r="K12" s="8">
        <v>75</v>
      </c>
      <c r="L12" s="9">
        <f t="shared" si="0"/>
        <v>300</v>
      </c>
    </row>
    <row r="13" spans="3:15" x14ac:dyDescent="0.25">
      <c r="C13" s="18"/>
      <c r="D13" s="3">
        <v>1</v>
      </c>
      <c r="E13" s="3">
        <v>9</v>
      </c>
      <c r="F13" s="19" t="s">
        <v>12</v>
      </c>
      <c r="J13" s="9">
        <v>30</v>
      </c>
      <c r="K13" s="8">
        <v>5</v>
      </c>
      <c r="L13" s="9">
        <f t="shared" si="0"/>
        <v>150</v>
      </c>
    </row>
    <row r="14" spans="3:15" x14ac:dyDescent="0.25">
      <c r="C14" s="18"/>
      <c r="D14" s="3">
        <v>1</v>
      </c>
      <c r="E14" s="3">
        <v>10</v>
      </c>
      <c r="F14" s="19" t="s">
        <v>12</v>
      </c>
      <c r="J14" s="9">
        <v>5</v>
      </c>
      <c r="K14" s="8">
        <v>50</v>
      </c>
      <c r="L14" s="9">
        <f t="shared" si="0"/>
        <v>250</v>
      </c>
    </row>
    <row r="15" spans="3:15" x14ac:dyDescent="0.25">
      <c r="C15" s="18"/>
      <c r="D15" s="3">
        <v>1</v>
      </c>
      <c r="E15" s="3">
        <v>11</v>
      </c>
      <c r="F15" s="19" t="s">
        <v>12</v>
      </c>
      <c r="J15" s="9">
        <v>1.5</v>
      </c>
      <c r="K15" s="8">
        <v>200</v>
      </c>
      <c r="L15" s="9">
        <f t="shared" si="0"/>
        <v>300</v>
      </c>
      <c r="M15" s="1" t="s">
        <v>10</v>
      </c>
      <c r="N15" s="7">
        <f>SUM(L5:L15)</f>
        <v>3790</v>
      </c>
      <c r="O15" s="1" t="s">
        <v>11</v>
      </c>
    </row>
    <row r="16" spans="3:15" x14ac:dyDescent="0.25">
      <c r="C16" s="18"/>
      <c r="D16" s="3">
        <v>2</v>
      </c>
      <c r="E16" s="3">
        <v>1</v>
      </c>
      <c r="F16" s="19" t="s">
        <v>12</v>
      </c>
      <c r="J16" s="9">
        <v>145</v>
      </c>
      <c r="K16" s="8">
        <v>2</v>
      </c>
      <c r="L16" s="9">
        <f t="shared" si="0"/>
        <v>290</v>
      </c>
    </row>
    <row r="17" spans="3:15" x14ac:dyDescent="0.25">
      <c r="C17" s="18"/>
      <c r="D17" s="3">
        <v>2</v>
      </c>
      <c r="E17" s="3">
        <v>2</v>
      </c>
      <c r="F17" s="19" t="s">
        <v>12</v>
      </c>
      <c r="J17" s="9">
        <v>60</v>
      </c>
      <c r="K17" s="8">
        <v>5</v>
      </c>
      <c r="L17" s="9">
        <f t="shared" si="0"/>
        <v>300</v>
      </c>
    </row>
    <row r="18" spans="3:15" x14ac:dyDescent="0.25">
      <c r="C18" s="18"/>
      <c r="D18" s="3">
        <v>2</v>
      </c>
      <c r="E18" s="3">
        <v>3</v>
      </c>
      <c r="F18" s="19" t="s">
        <v>12</v>
      </c>
      <c r="J18" s="9">
        <v>31.5</v>
      </c>
      <c r="K18" s="8">
        <v>5</v>
      </c>
      <c r="L18" s="9">
        <f t="shared" si="0"/>
        <v>157.5</v>
      </c>
    </row>
    <row r="19" spans="3:15" x14ac:dyDescent="0.25">
      <c r="C19" s="18"/>
      <c r="D19" s="3">
        <v>2</v>
      </c>
      <c r="E19" s="3">
        <v>4</v>
      </c>
      <c r="F19" s="19" t="s">
        <v>12</v>
      </c>
      <c r="J19" s="9">
        <v>80</v>
      </c>
      <c r="K19" s="8">
        <v>10</v>
      </c>
      <c r="L19" s="9">
        <f t="shared" si="0"/>
        <v>800</v>
      </c>
    </row>
    <row r="20" spans="3:15" x14ac:dyDescent="0.25">
      <c r="C20" s="18"/>
      <c r="D20" s="3">
        <v>2</v>
      </c>
      <c r="E20" s="3">
        <v>5</v>
      </c>
      <c r="F20" s="19" t="s">
        <v>12</v>
      </c>
      <c r="J20" s="9">
        <v>200</v>
      </c>
      <c r="K20" s="8">
        <v>5</v>
      </c>
      <c r="L20" s="9">
        <f t="shared" si="0"/>
        <v>1000</v>
      </c>
    </row>
    <row r="21" spans="3:15" x14ac:dyDescent="0.25">
      <c r="C21" s="18"/>
      <c r="D21" s="3">
        <v>2</v>
      </c>
      <c r="E21" s="3">
        <v>6</v>
      </c>
      <c r="F21" s="19" t="s">
        <v>12</v>
      </c>
      <c r="J21" s="9">
        <v>150</v>
      </c>
      <c r="K21" s="8">
        <v>2</v>
      </c>
      <c r="L21" s="9">
        <f t="shared" si="0"/>
        <v>300</v>
      </c>
    </row>
    <row r="22" spans="3:15" x14ac:dyDescent="0.25">
      <c r="C22" s="18"/>
      <c r="D22" s="3">
        <v>2</v>
      </c>
      <c r="E22" s="3">
        <v>7</v>
      </c>
      <c r="F22" s="19" t="s">
        <v>12</v>
      </c>
      <c r="J22" s="9">
        <v>61.25</v>
      </c>
      <c r="K22" s="8">
        <v>2</v>
      </c>
      <c r="L22" s="9">
        <f t="shared" si="0"/>
        <v>122.5</v>
      </c>
      <c r="M22" s="1" t="s">
        <v>10</v>
      </c>
      <c r="N22" s="7">
        <f>SUM(L16:L22)</f>
        <v>2970</v>
      </c>
      <c r="O22" s="1" t="s">
        <v>11</v>
      </c>
    </row>
    <row r="23" spans="3:15" x14ac:dyDescent="0.25">
      <c r="C23" s="18"/>
      <c r="D23" s="3">
        <v>3</v>
      </c>
      <c r="E23" s="3">
        <v>1</v>
      </c>
      <c r="F23" s="19" t="s">
        <v>12</v>
      </c>
      <c r="J23" s="9">
        <v>10.98</v>
      </c>
      <c r="K23" s="8">
        <v>50</v>
      </c>
      <c r="L23" s="9">
        <f t="shared" si="0"/>
        <v>549</v>
      </c>
    </row>
    <row r="24" spans="3:15" x14ac:dyDescent="0.25">
      <c r="C24" s="18"/>
      <c r="D24" s="3">
        <v>3</v>
      </c>
      <c r="E24" s="3">
        <v>2</v>
      </c>
      <c r="F24" s="19" t="s">
        <v>12</v>
      </c>
      <c r="J24" s="9">
        <v>16.55</v>
      </c>
      <c r="K24" s="8">
        <v>20</v>
      </c>
      <c r="L24" s="9">
        <f t="shared" si="0"/>
        <v>331</v>
      </c>
    </row>
    <row r="25" spans="3:15" x14ac:dyDescent="0.25">
      <c r="C25" s="18"/>
      <c r="D25" s="3">
        <v>3</v>
      </c>
      <c r="E25" s="3">
        <v>3</v>
      </c>
      <c r="F25" s="19" t="s">
        <v>12</v>
      </c>
      <c r="J25" s="9">
        <v>23</v>
      </c>
      <c r="K25" s="8">
        <v>50</v>
      </c>
      <c r="L25" s="9">
        <f t="shared" si="0"/>
        <v>1150</v>
      </c>
    </row>
    <row r="26" spans="3:15" x14ac:dyDescent="0.25">
      <c r="C26" s="18"/>
      <c r="D26" s="3">
        <v>3</v>
      </c>
      <c r="E26" s="3">
        <v>4</v>
      </c>
      <c r="F26" s="19" t="s">
        <v>12</v>
      </c>
      <c r="J26" s="9">
        <v>7.65</v>
      </c>
      <c r="K26" s="8">
        <v>200</v>
      </c>
      <c r="L26" s="9">
        <f t="shared" si="0"/>
        <v>1530</v>
      </c>
      <c r="M26" s="1" t="s">
        <v>10</v>
      </c>
      <c r="N26" s="7">
        <f>SUM(L23:L26)</f>
        <v>3560</v>
      </c>
      <c r="O26" s="1" t="s">
        <v>11</v>
      </c>
    </row>
    <row r="27" spans="3:15" x14ac:dyDescent="0.25">
      <c r="C27" s="18"/>
      <c r="D27" s="3">
        <v>4</v>
      </c>
      <c r="E27" s="3">
        <v>1</v>
      </c>
      <c r="F27" s="19" t="s">
        <v>12</v>
      </c>
      <c r="J27" s="9">
        <v>2.6</v>
      </c>
      <c r="K27" s="8">
        <v>5</v>
      </c>
      <c r="L27" s="9">
        <f t="shared" si="0"/>
        <v>13</v>
      </c>
    </row>
    <row r="28" spans="3:15" x14ac:dyDescent="0.25">
      <c r="C28" s="18"/>
      <c r="D28" s="3">
        <v>4</v>
      </c>
      <c r="E28" s="3">
        <v>2</v>
      </c>
      <c r="F28" s="19" t="s">
        <v>12</v>
      </c>
      <c r="J28" s="9">
        <v>2.5</v>
      </c>
      <c r="K28" s="8">
        <v>5</v>
      </c>
      <c r="L28" s="9">
        <f t="shared" si="0"/>
        <v>12.5</v>
      </c>
    </row>
    <row r="29" spans="3:15" x14ac:dyDescent="0.25">
      <c r="C29" s="18"/>
      <c r="D29" s="3">
        <v>4</v>
      </c>
      <c r="E29" s="3">
        <v>3</v>
      </c>
      <c r="F29" s="19" t="s">
        <v>12</v>
      </c>
      <c r="J29" s="9">
        <v>3.1</v>
      </c>
      <c r="K29" s="8">
        <v>5</v>
      </c>
      <c r="L29" s="9">
        <f t="shared" si="0"/>
        <v>15.5</v>
      </c>
    </row>
    <row r="30" spans="3:15" x14ac:dyDescent="0.25">
      <c r="C30" s="18"/>
      <c r="D30" s="3">
        <v>4</v>
      </c>
      <c r="E30" s="3">
        <v>4</v>
      </c>
      <c r="F30" s="19" t="s">
        <v>12</v>
      </c>
      <c r="J30" s="9">
        <v>2.6</v>
      </c>
      <c r="K30" s="8">
        <v>5</v>
      </c>
      <c r="L30" s="9">
        <f t="shared" si="0"/>
        <v>13</v>
      </c>
    </row>
    <row r="31" spans="3:15" x14ac:dyDescent="0.25">
      <c r="C31" s="18"/>
      <c r="D31" s="3">
        <v>4</v>
      </c>
      <c r="E31" s="3">
        <v>5</v>
      </c>
      <c r="F31" s="19" t="s">
        <v>12</v>
      </c>
      <c r="J31" s="9">
        <v>3.1</v>
      </c>
      <c r="K31" s="8">
        <v>5</v>
      </c>
      <c r="L31" s="9">
        <f t="shared" si="0"/>
        <v>15.5</v>
      </c>
    </row>
    <row r="32" spans="3:15" x14ac:dyDescent="0.25">
      <c r="C32" s="18"/>
      <c r="D32" s="3">
        <v>4</v>
      </c>
      <c r="E32" s="3">
        <v>6</v>
      </c>
      <c r="F32" s="19" t="s">
        <v>12</v>
      </c>
      <c r="J32" s="9">
        <v>3</v>
      </c>
      <c r="K32" s="8">
        <v>5</v>
      </c>
      <c r="L32" s="9">
        <f t="shared" si="0"/>
        <v>15</v>
      </c>
    </row>
    <row r="33" spans="3:15" x14ac:dyDescent="0.25">
      <c r="C33" s="18"/>
      <c r="D33" s="3">
        <v>4</v>
      </c>
      <c r="E33" s="3">
        <v>7</v>
      </c>
      <c r="F33" s="19" t="s">
        <v>12</v>
      </c>
      <c r="J33" s="9">
        <v>3</v>
      </c>
      <c r="K33" s="8">
        <v>5</v>
      </c>
      <c r="L33" s="9">
        <f t="shared" si="0"/>
        <v>15</v>
      </c>
    </row>
    <row r="34" spans="3:15" x14ac:dyDescent="0.25">
      <c r="C34" s="18"/>
      <c r="D34" s="3">
        <v>4</v>
      </c>
      <c r="E34" s="3">
        <v>8</v>
      </c>
      <c r="F34" s="19" t="s">
        <v>12</v>
      </c>
      <c r="J34" s="9">
        <v>3.7</v>
      </c>
      <c r="K34" s="8">
        <v>5</v>
      </c>
      <c r="L34" s="9">
        <f t="shared" si="0"/>
        <v>18.5</v>
      </c>
    </row>
    <row r="35" spans="3:15" x14ac:dyDescent="0.25">
      <c r="C35" s="18"/>
      <c r="D35" s="3">
        <v>4</v>
      </c>
      <c r="E35" s="3">
        <v>9</v>
      </c>
      <c r="F35" s="19" t="s">
        <v>12</v>
      </c>
      <c r="J35" s="9">
        <v>5.6</v>
      </c>
      <c r="K35" s="8">
        <v>5</v>
      </c>
      <c r="L35" s="9">
        <f t="shared" si="0"/>
        <v>28</v>
      </c>
      <c r="M35" s="1" t="s">
        <v>10</v>
      </c>
      <c r="N35" s="7">
        <f>SUM(L27:L35)</f>
        <v>146</v>
      </c>
      <c r="O35" s="1" t="s">
        <v>11</v>
      </c>
    </row>
    <row r="36" spans="3:15" x14ac:dyDescent="0.25">
      <c r="C36" s="18"/>
      <c r="D36" s="3">
        <v>5</v>
      </c>
      <c r="E36" s="3">
        <v>1</v>
      </c>
      <c r="F36" s="19" t="s">
        <v>12</v>
      </c>
      <c r="J36" s="9">
        <v>17</v>
      </c>
      <c r="K36" s="8">
        <v>15</v>
      </c>
      <c r="L36" s="9">
        <f t="shared" si="0"/>
        <v>255</v>
      </c>
    </row>
    <row r="37" spans="3:15" x14ac:dyDescent="0.25">
      <c r="C37" s="18"/>
      <c r="D37" s="3">
        <v>5</v>
      </c>
      <c r="E37" s="3">
        <v>2</v>
      </c>
      <c r="F37" s="19" t="s">
        <v>12</v>
      </c>
      <c r="J37" s="9">
        <v>15</v>
      </c>
      <c r="K37" s="8">
        <v>15</v>
      </c>
      <c r="L37" s="9">
        <f t="shared" si="0"/>
        <v>225</v>
      </c>
    </row>
    <row r="38" spans="3:15" x14ac:dyDescent="0.25">
      <c r="C38" s="18"/>
      <c r="D38" s="3">
        <v>5</v>
      </c>
      <c r="E38" s="3">
        <v>3</v>
      </c>
      <c r="F38" s="19" t="s">
        <v>12</v>
      </c>
      <c r="J38" s="9">
        <v>14.5</v>
      </c>
      <c r="K38" s="8">
        <v>10</v>
      </c>
      <c r="L38" s="9">
        <f t="shared" si="0"/>
        <v>145</v>
      </c>
      <c r="M38" s="1" t="s">
        <v>10</v>
      </c>
      <c r="N38" s="7">
        <f>SUM(L36:L38)</f>
        <v>625</v>
      </c>
      <c r="O38" s="1" t="s">
        <v>11</v>
      </c>
    </row>
    <row r="39" spans="3:15" x14ac:dyDescent="0.25">
      <c r="C39" s="18"/>
      <c r="D39" s="3">
        <v>6</v>
      </c>
      <c r="E39" s="3">
        <v>1</v>
      </c>
      <c r="F39" s="19" t="s">
        <v>12</v>
      </c>
      <c r="J39" s="9">
        <v>7.5</v>
      </c>
      <c r="K39" s="8">
        <v>3</v>
      </c>
      <c r="L39" s="9">
        <f t="shared" si="0"/>
        <v>22.5</v>
      </c>
    </row>
    <row r="40" spans="3:15" x14ac:dyDescent="0.25">
      <c r="C40" s="18"/>
      <c r="D40" s="3">
        <v>6</v>
      </c>
      <c r="E40" s="3">
        <v>2</v>
      </c>
      <c r="F40" s="19" t="s">
        <v>12</v>
      </c>
      <c r="J40" s="9">
        <v>14</v>
      </c>
      <c r="K40" s="8">
        <v>5</v>
      </c>
      <c r="L40" s="9">
        <f t="shared" si="0"/>
        <v>70</v>
      </c>
    </row>
    <row r="41" spans="3:15" x14ac:dyDescent="0.25">
      <c r="C41" s="18"/>
      <c r="D41" s="3">
        <v>6</v>
      </c>
      <c r="E41" s="3">
        <v>3</v>
      </c>
      <c r="F41" s="19" t="s">
        <v>12</v>
      </c>
      <c r="J41" s="9">
        <v>22.5</v>
      </c>
      <c r="K41" s="8">
        <v>5</v>
      </c>
      <c r="L41" s="9">
        <f t="shared" si="0"/>
        <v>112.5</v>
      </c>
    </row>
    <row r="42" spans="3:15" x14ac:dyDescent="0.25">
      <c r="C42" s="18"/>
      <c r="D42" s="3">
        <v>6</v>
      </c>
      <c r="E42" s="3">
        <v>4</v>
      </c>
      <c r="F42" s="19" t="s">
        <v>12</v>
      </c>
      <c r="J42" s="9">
        <v>14</v>
      </c>
      <c r="K42" s="8">
        <v>5</v>
      </c>
      <c r="L42" s="9">
        <f t="shared" si="0"/>
        <v>70</v>
      </c>
    </row>
    <row r="43" spans="3:15" x14ac:dyDescent="0.25">
      <c r="C43" s="18"/>
      <c r="D43" s="3">
        <v>6</v>
      </c>
      <c r="E43" s="3">
        <v>5</v>
      </c>
      <c r="F43" s="19" t="s">
        <v>12</v>
      </c>
      <c r="J43" s="9">
        <v>18.75</v>
      </c>
      <c r="K43" s="8">
        <v>5</v>
      </c>
      <c r="L43" s="9">
        <f t="shared" si="0"/>
        <v>93.75</v>
      </c>
    </row>
    <row r="44" spans="3:15" x14ac:dyDescent="0.25">
      <c r="C44" s="18"/>
      <c r="D44" s="3">
        <v>6</v>
      </c>
      <c r="E44" s="3">
        <v>6</v>
      </c>
      <c r="F44" s="19" t="s">
        <v>12</v>
      </c>
      <c r="J44" s="9">
        <v>18.75</v>
      </c>
      <c r="K44" s="8">
        <v>5</v>
      </c>
      <c r="L44" s="9">
        <f t="shared" si="0"/>
        <v>93.75</v>
      </c>
    </row>
    <row r="45" spans="3:15" x14ac:dyDescent="0.25">
      <c r="C45" s="18"/>
      <c r="D45" s="3">
        <v>6</v>
      </c>
      <c r="E45" s="3">
        <v>7</v>
      </c>
      <c r="F45" s="19" t="s">
        <v>12</v>
      </c>
      <c r="J45" s="9">
        <v>12.5</v>
      </c>
      <c r="K45" s="8">
        <v>5</v>
      </c>
      <c r="L45" s="9">
        <f t="shared" si="0"/>
        <v>62.5</v>
      </c>
    </row>
    <row r="46" spans="3:15" x14ac:dyDescent="0.25">
      <c r="C46" s="18"/>
      <c r="D46" s="3">
        <v>6</v>
      </c>
      <c r="E46" s="3">
        <v>8</v>
      </c>
      <c r="F46" s="19" t="s">
        <v>12</v>
      </c>
      <c r="J46" s="9">
        <v>11.25</v>
      </c>
      <c r="K46" s="8">
        <v>10</v>
      </c>
      <c r="L46" s="9">
        <f t="shared" si="0"/>
        <v>112.5</v>
      </c>
    </row>
    <row r="47" spans="3:15" x14ac:dyDescent="0.25">
      <c r="C47" s="18"/>
      <c r="D47" s="3">
        <v>6</v>
      </c>
      <c r="E47" s="3">
        <v>9</v>
      </c>
      <c r="F47" s="19" t="s">
        <v>12</v>
      </c>
      <c r="J47" s="9">
        <v>15</v>
      </c>
      <c r="K47" s="8">
        <v>5</v>
      </c>
      <c r="L47" s="9">
        <f t="shared" si="0"/>
        <v>75</v>
      </c>
    </row>
    <row r="48" spans="3:15" x14ac:dyDescent="0.25">
      <c r="C48" s="18"/>
      <c r="D48" s="3">
        <v>6</v>
      </c>
      <c r="E48" s="3">
        <v>10</v>
      </c>
      <c r="F48" s="19" t="s">
        <v>12</v>
      </c>
      <c r="J48" s="9">
        <v>3.75</v>
      </c>
      <c r="K48" s="8">
        <v>10</v>
      </c>
      <c r="L48" s="9">
        <f t="shared" si="0"/>
        <v>37.5</v>
      </c>
    </row>
    <row r="49" spans="3:12" x14ac:dyDescent="0.25">
      <c r="C49" s="18"/>
      <c r="D49" s="3">
        <v>6</v>
      </c>
      <c r="E49" s="3">
        <v>11</v>
      </c>
      <c r="F49" s="19" t="s">
        <v>12</v>
      </c>
      <c r="J49" s="9">
        <v>5</v>
      </c>
      <c r="K49" s="8">
        <v>5</v>
      </c>
      <c r="L49" s="9">
        <f t="shared" si="0"/>
        <v>25</v>
      </c>
    </row>
    <row r="50" spans="3:12" x14ac:dyDescent="0.25">
      <c r="C50" s="18"/>
      <c r="D50" s="3">
        <v>6</v>
      </c>
      <c r="E50" s="3">
        <v>12</v>
      </c>
      <c r="F50" s="19" t="s">
        <v>12</v>
      </c>
      <c r="J50" s="9">
        <v>2.5</v>
      </c>
      <c r="K50" s="8">
        <v>10</v>
      </c>
      <c r="L50" s="9">
        <f t="shared" si="0"/>
        <v>25</v>
      </c>
    </row>
    <row r="51" spans="3:12" x14ac:dyDescent="0.25">
      <c r="C51" s="18"/>
      <c r="D51" s="3">
        <v>6</v>
      </c>
      <c r="E51" s="3">
        <v>13</v>
      </c>
      <c r="F51" s="19" t="s">
        <v>12</v>
      </c>
      <c r="J51" s="9">
        <v>16.25</v>
      </c>
      <c r="K51" s="8">
        <v>5</v>
      </c>
      <c r="L51" s="9">
        <f t="shared" si="0"/>
        <v>81.25</v>
      </c>
    </row>
    <row r="52" spans="3:12" x14ac:dyDescent="0.25">
      <c r="C52" s="18"/>
      <c r="D52" s="3">
        <v>6</v>
      </c>
      <c r="E52" s="3">
        <v>14</v>
      </c>
      <c r="F52" s="19" t="s">
        <v>12</v>
      </c>
      <c r="J52" s="9">
        <v>12.5</v>
      </c>
      <c r="K52" s="8">
        <v>10</v>
      </c>
      <c r="L52" s="9">
        <f t="shared" si="0"/>
        <v>125</v>
      </c>
    </row>
    <row r="53" spans="3:12" x14ac:dyDescent="0.25">
      <c r="C53" s="18"/>
      <c r="D53" s="3">
        <v>6</v>
      </c>
      <c r="E53" s="3">
        <v>15</v>
      </c>
      <c r="F53" s="19" t="s">
        <v>12</v>
      </c>
      <c r="J53" s="9">
        <v>5</v>
      </c>
      <c r="K53" s="8">
        <v>20</v>
      </c>
      <c r="L53" s="9">
        <f t="shared" si="0"/>
        <v>100</v>
      </c>
    </row>
    <row r="54" spans="3:12" x14ac:dyDescent="0.25">
      <c r="C54" s="18"/>
      <c r="D54" s="3">
        <v>6</v>
      </c>
      <c r="E54" s="3">
        <v>16</v>
      </c>
      <c r="F54" s="19" t="s">
        <v>12</v>
      </c>
      <c r="J54" s="9">
        <v>3.25</v>
      </c>
      <c r="K54" s="8">
        <v>20</v>
      </c>
      <c r="L54" s="9">
        <f t="shared" si="0"/>
        <v>65</v>
      </c>
    </row>
    <row r="55" spans="3:12" x14ac:dyDescent="0.25">
      <c r="C55" s="18"/>
      <c r="D55" s="3">
        <v>6</v>
      </c>
      <c r="E55" s="3">
        <v>17</v>
      </c>
      <c r="F55" s="19" t="s">
        <v>12</v>
      </c>
      <c r="J55" s="9">
        <v>11.25</v>
      </c>
      <c r="K55" s="8">
        <v>20</v>
      </c>
      <c r="L55" s="9">
        <f t="shared" si="0"/>
        <v>225</v>
      </c>
    </row>
    <row r="56" spans="3:12" ht="30" x14ac:dyDescent="0.25">
      <c r="C56" s="18"/>
      <c r="D56" s="3">
        <v>6</v>
      </c>
      <c r="E56" s="3">
        <v>18</v>
      </c>
      <c r="F56" s="23" t="s">
        <v>13</v>
      </c>
      <c r="J56" s="9">
        <v>16.25</v>
      </c>
      <c r="K56" s="8">
        <v>3</v>
      </c>
      <c r="L56" s="9">
        <f t="shared" si="0"/>
        <v>48.75</v>
      </c>
    </row>
    <row r="57" spans="3:12" ht="30" x14ac:dyDescent="0.25">
      <c r="C57" s="18"/>
      <c r="D57" s="3">
        <v>6</v>
      </c>
      <c r="E57" s="3">
        <v>19</v>
      </c>
      <c r="F57" s="23" t="s">
        <v>13</v>
      </c>
      <c r="J57" s="9">
        <v>13.75</v>
      </c>
      <c r="K57" s="8">
        <v>3</v>
      </c>
      <c r="L57" s="9">
        <f t="shared" si="0"/>
        <v>41.25</v>
      </c>
    </row>
    <row r="58" spans="3:12" ht="30" x14ac:dyDescent="0.25">
      <c r="C58" s="18"/>
      <c r="D58" s="3">
        <v>6</v>
      </c>
      <c r="E58" s="3">
        <v>20</v>
      </c>
      <c r="F58" s="23" t="s">
        <v>13</v>
      </c>
      <c r="J58" s="9">
        <v>18.75</v>
      </c>
      <c r="K58" s="8">
        <v>3</v>
      </c>
      <c r="L58" s="9">
        <f t="shared" si="0"/>
        <v>56.25</v>
      </c>
    </row>
    <row r="59" spans="3:12" ht="30" x14ac:dyDescent="0.25">
      <c r="C59" s="18"/>
      <c r="D59" s="3">
        <v>6</v>
      </c>
      <c r="E59" s="3">
        <v>21</v>
      </c>
      <c r="F59" s="23" t="s">
        <v>13</v>
      </c>
      <c r="J59" s="9">
        <v>25</v>
      </c>
      <c r="K59" s="8">
        <v>3</v>
      </c>
      <c r="L59" s="9">
        <f t="shared" si="0"/>
        <v>75</v>
      </c>
    </row>
    <row r="60" spans="3:12" x14ac:dyDescent="0.25">
      <c r="C60" s="18"/>
      <c r="D60" s="3">
        <v>6</v>
      </c>
      <c r="E60" s="3">
        <v>22</v>
      </c>
      <c r="F60" s="19" t="s">
        <v>12</v>
      </c>
      <c r="J60" s="9">
        <v>17.5</v>
      </c>
      <c r="K60" s="8">
        <v>5</v>
      </c>
      <c r="L60" s="9">
        <f t="shared" si="0"/>
        <v>87.5</v>
      </c>
    </row>
    <row r="61" spans="3:12" ht="30" x14ac:dyDescent="0.25">
      <c r="C61" s="18"/>
      <c r="D61" s="3">
        <v>6</v>
      </c>
      <c r="E61" s="3">
        <v>23</v>
      </c>
      <c r="F61" s="23" t="s">
        <v>14</v>
      </c>
      <c r="J61" s="9">
        <v>11.25</v>
      </c>
      <c r="K61" s="8">
        <v>10</v>
      </c>
      <c r="L61" s="9">
        <f t="shared" si="0"/>
        <v>112.5</v>
      </c>
    </row>
    <row r="62" spans="3:12" x14ac:dyDescent="0.25">
      <c r="C62" s="18"/>
      <c r="D62" s="3">
        <v>6</v>
      </c>
      <c r="E62" s="3">
        <v>24</v>
      </c>
      <c r="F62" s="19" t="s">
        <v>12</v>
      </c>
      <c r="J62" s="9">
        <v>42.5</v>
      </c>
      <c r="K62" s="8">
        <v>5</v>
      </c>
      <c r="L62" s="9">
        <f t="shared" si="0"/>
        <v>212.5</v>
      </c>
    </row>
    <row r="63" spans="3:12" x14ac:dyDescent="0.25">
      <c r="C63" s="18"/>
      <c r="D63" s="3">
        <v>6</v>
      </c>
      <c r="E63" s="3">
        <v>25</v>
      </c>
      <c r="F63" s="19" t="s">
        <v>12</v>
      </c>
      <c r="J63" s="9">
        <v>8.75</v>
      </c>
      <c r="K63" s="8">
        <v>20</v>
      </c>
      <c r="L63" s="9">
        <f t="shared" si="0"/>
        <v>175</v>
      </c>
    </row>
    <row r="64" spans="3:12" x14ac:dyDescent="0.25">
      <c r="C64" s="18"/>
      <c r="D64" s="3">
        <v>6</v>
      </c>
      <c r="E64" s="3">
        <v>26</v>
      </c>
      <c r="F64" s="19" t="s">
        <v>12</v>
      </c>
      <c r="J64" s="9">
        <v>2.5</v>
      </c>
      <c r="K64" s="8">
        <v>15</v>
      </c>
      <c r="L64" s="9">
        <f t="shared" si="0"/>
        <v>37.5</v>
      </c>
    </row>
    <row r="65" spans="3:15" x14ac:dyDescent="0.25">
      <c r="C65" s="18"/>
      <c r="D65" s="3">
        <v>6</v>
      </c>
      <c r="E65" s="3">
        <v>27</v>
      </c>
      <c r="F65" s="19" t="s">
        <v>12</v>
      </c>
      <c r="J65" s="9">
        <v>2.5</v>
      </c>
      <c r="K65" s="8">
        <v>20</v>
      </c>
      <c r="L65" s="9">
        <f t="shared" si="0"/>
        <v>50</v>
      </c>
    </row>
    <row r="66" spans="3:15" x14ac:dyDescent="0.25">
      <c r="C66" s="18"/>
      <c r="D66" s="3">
        <v>6</v>
      </c>
      <c r="E66" s="3">
        <v>28</v>
      </c>
      <c r="F66" s="19" t="s">
        <v>12</v>
      </c>
      <c r="J66" s="9">
        <v>0.75</v>
      </c>
      <c r="K66" s="8">
        <v>100</v>
      </c>
      <c r="L66" s="9">
        <f t="shared" si="0"/>
        <v>75</v>
      </c>
    </row>
    <row r="67" spans="3:15" ht="15.75" thickBot="1" x14ac:dyDescent="0.3">
      <c r="C67" s="20"/>
      <c r="D67" s="21">
        <v>6</v>
      </c>
      <c r="E67" s="21">
        <v>29</v>
      </c>
      <c r="F67" s="22" t="s">
        <v>12</v>
      </c>
      <c r="J67" s="9">
        <v>1.25</v>
      </c>
      <c r="K67" s="8">
        <v>50</v>
      </c>
      <c r="L67" s="9">
        <f t="shared" si="0"/>
        <v>62.5</v>
      </c>
      <c r="M67" s="1" t="s">
        <v>10</v>
      </c>
      <c r="N67" s="7">
        <f>SUM(L39:L67)</f>
        <v>2430</v>
      </c>
      <c r="O67" s="1" t="s">
        <v>11</v>
      </c>
    </row>
    <row r="68" spans="3:15" x14ac:dyDescent="0.25">
      <c r="C68" s="15" t="s">
        <v>8</v>
      </c>
      <c r="D68" s="16">
        <v>7</v>
      </c>
      <c r="E68" s="16">
        <v>1</v>
      </c>
      <c r="F68" s="17" t="s">
        <v>12</v>
      </c>
      <c r="J68" s="9">
        <v>3.75</v>
      </c>
      <c r="K68" s="8">
        <v>100</v>
      </c>
      <c r="L68" s="9">
        <f t="shared" si="0"/>
        <v>375</v>
      </c>
    </row>
    <row r="69" spans="3:15" x14ac:dyDescent="0.25">
      <c r="C69" s="18"/>
      <c r="D69" s="3">
        <v>7</v>
      </c>
      <c r="E69" s="3">
        <v>2</v>
      </c>
      <c r="F69" s="19" t="s">
        <v>12</v>
      </c>
      <c r="J69" s="9">
        <v>4.5</v>
      </c>
      <c r="K69" s="8">
        <v>200</v>
      </c>
      <c r="L69" s="9">
        <f t="shared" si="0"/>
        <v>900</v>
      </c>
    </row>
    <row r="70" spans="3:15" x14ac:dyDescent="0.25">
      <c r="C70" s="18"/>
      <c r="D70" s="3">
        <v>7</v>
      </c>
      <c r="E70" s="3">
        <v>3</v>
      </c>
      <c r="F70" s="19" t="s">
        <v>12</v>
      </c>
      <c r="J70" s="9">
        <v>5.5</v>
      </c>
      <c r="K70" s="8">
        <v>100</v>
      </c>
      <c r="L70" s="9">
        <f t="shared" ref="L70:L80" si="1">K70*J70</f>
        <v>550</v>
      </c>
    </row>
    <row r="71" spans="3:15" x14ac:dyDescent="0.25">
      <c r="C71" s="18"/>
      <c r="D71" s="3">
        <v>7</v>
      </c>
      <c r="E71" s="3">
        <v>4</v>
      </c>
      <c r="F71" s="19" t="s">
        <v>12</v>
      </c>
      <c r="J71" s="9">
        <v>3.25</v>
      </c>
      <c r="K71" s="8">
        <v>50</v>
      </c>
      <c r="L71" s="9">
        <f t="shared" si="1"/>
        <v>162.5</v>
      </c>
    </row>
    <row r="72" spans="3:15" x14ac:dyDescent="0.25">
      <c r="C72" s="18"/>
      <c r="D72" s="3">
        <v>7</v>
      </c>
      <c r="E72" s="3">
        <v>5</v>
      </c>
      <c r="F72" s="19" t="s">
        <v>12</v>
      </c>
      <c r="J72" s="9">
        <v>5.3999999999999999E-2</v>
      </c>
      <c r="K72" s="8">
        <v>1500</v>
      </c>
      <c r="L72" s="9">
        <f t="shared" si="1"/>
        <v>81</v>
      </c>
    </row>
    <row r="73" spans="3:15" x14ac:dyDescent="0.25">
      <c r="C73" s="18"/>
      <c r="D73" s="3">
        <v>7</v>
      </c>
      <c r="E73" s="3">
        <v>6</v>
      </c>
      <c r="F73" s="19" t="s">
        <v>12</v>
      </c>
      <c r="J73" s="9">
        <v>0.1</v>
      </c>
      <c r="K73" s="8">
        <v>2000</v>
      </c>
      <c r="L73" s="9">
        <f t="shared" si="1"/>
        <v>200</v>
      </c>
    </row>
    <row r="74" spans="3:15" x14ac:dyDescent="0.25">
      <c r="C74" s="18"/>
      <c r="D74" s="3">
        <v>7</v>
      </c>
      <c r="E74" s="3">
        <v>7</v>
      </c>
      <c r="F74" s="19" t="s">
        <v>12</v>
      </c>
      <c r="J74" s="9">
        <v>0.21</v>
      </c>
      <c r="K74" s="8">
        <v>500</v>
      </c>
      <c r="L74" s="9">
        <f t="shared" si="1"/>
        <v>105</v>
      </c>
    </row>
    <row r="75" spans="3:15" x14ac:dyDescent="0.25">
      <c r="C75" s="18"/>
      <c r="D75" s="3">
        <v>7</v>
      </c>
      <c r="E75" s="3">
        <v>8</v>
      </c>
      <c r="F75" s="19" t="s">
        <v>12</v>
      </c>
      <c r="J75" s="9">
        <v>4.5</v>
      </c>
      <c r="K75" s="8">
        <v>100</v>
      </c>
      <c r="L75" s="9">
        <f t="shared" si="1"/>
        <v>450</v>
      </c>
    </row>
    <row r="76" spans="3:15" x14ac:dyDescent="0.25">
      <c r="C76" s="18"/>
      <c r="D76" s="3">
        <v>7</v>
      </c>
      <c r="E76" s="3">
        <v>9</v>
      </c>
      <c r="F76" s="19" t="s">
        <v>12</v>
      </c>
      <c r="J76" s="9">
        <v>0.48349999999999999</v>
      </c>
      <c r="K76" s="8">
        <v>1000</v>
      </c>
      <c r="L76" s="9">
        <f t="shared" si="1"/>
        <v>483.5</v>
      </c>
    </row>
    <row r="77" spans="3:15" x14ac:dyDescent="0.25">
      <c r="C77" s="18"/>
      <c r="D77" s="3">
        <v>7</v>
      </c>
      <c r="E77" s="3">
        <v>10</v>
      </c>
      <c r="F77" s="19" t="s">
        <v>12</v>
      </c>
      <c r="J77" s="9">
        <v>0.1</v>
      </c>
      <c r="K77" s="8">
        <v>3000</v>
      </c>
      <c r="L77" s="9">
        <f t="shared" si="1"/>
        <v>300</v>
      </c>
    </row>
    <row r="78" spans="3:15" x14ac:dyDescent="0.25">
      <c r="C78" s="18"/>
      <c r="D78" s="3">
        <v>7</v>
      </c>
      <c r="E78" s="3">
        <v>11</v>
      </c>
      <c r="F78" s="19" t="s">
        <v>12</v>
      </c>
      <c r="J78" s="9">
        <v>4.4999999999999998E-2</v>
      </c>
      <c r="K78" s="8">
        <v>3000</v>
      </c>
      <c r="L78" s="9">
        <f t="shared" si="1"/>
        <v>135</v>
      </c>
    </row>
    <row r="79" spans="3:15" ht="15.75" thickBot="1" x14ac:dyDescent="0.3">
      <c r="C79" s="20"/>
      <c r="D79" s="21">
        <v>7</v>
      </c>
      <c r="E79" s="21">
        <v>12</v>
      </c>
      <c r="F79" s="22" t="s">
        <v>12</v>
      </c>
      <c r="J79" s="9">
        <v>3.3000000000000002E-2</v>
      </c>
      <c r="K79" s="8">
        <v>3000</v>
      </c>
      <c r="L79" s="9">
        <f t="shared" si="1"/>
        <v>99</v>
      </c>
      <c r="M79" s="1" t="s">
        <v>10</v>
      </c>
      <c r="N79" s="7">
        <f>SUM(L68:L79)</f>
        <v>3841</v>
      </c>
      <c r="O79" s="1" t="s">
        <v>11</v>
      </c>
    </row>
    <row r="80" spans="3:15" ht="30.75" thickBot="1" x14ac:dyDescent="0.3">
      <c r="C80" s="11" t="s">
        <v>9</v>
      </c>
      <c r="D80" s="12">
        <v>8</v>
      </c>
      <c r="E80" s="13">
        <v>1</v>
      </c>
      <c r="F80" s="14" t="s">
        <v>12</v>
      </c>
      <c r="J80" s="9">
        <v>12.95</v>
      </c>
      <c r="K80" s="8">
        <v>20</v>
      </c>
      <c r="L80" s="9">
        <f t="shared" si="1"/>
        <v>259</v>
      </c>
      <c r="M80" s="1" t="s">
        <v>10</v>
      </c>
      <c r="N80" s="7">
        <f>L80</f>
        <v>259</v>
      </c>
      <c r="O80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NOGUEIRA DA SILVA</dc:creator>
  <cp:lastModifiedBy>Renato Nogueira da Silva</cp:lastModifiedBy>
  <cp:lastPrinted>2026-07-17T21:34:52Z</cp:lastPrinted>
  <dcterms:created xsi:type="dcterms:W3CDTF">2015-06-05T18:19:34Z</dcterms:created>
  <dcterms:modified xsi:type="dcterms:W3CDTF">2026-07-17T22:22:14Z</dcterms:modified>
</cp:coreProperties>
</file>