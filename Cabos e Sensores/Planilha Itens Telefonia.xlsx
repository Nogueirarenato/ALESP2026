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natoNSilva\Documents\ALESP\Cabos e Sensores\"/>
    </mc:Choice>
  </mc:AlternateContent>
  <xr:revisionPtr revIDLastSave="0" documentId="13_ncr:1_{99F2579A-311C-4D6D-872E-0FFA8C9919C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Geral" sheetId="1" r:id="rId1"/>
    <sheet name="DFT" sheetId="3" r:id="rId2"/>
    <sheet name="DFT 2" sheetId="4" r:id="rId3"/>
    <sheet name="TR 1" sheetId="6" r:id="rId4"/>
    <sheet name="TR 2" sheetId="8" r:id="rId5"/>
    <sheet name="Werner" sheetId="2" r:id="rId6"/>
  </sheets>
  <definedNames>
    <definedName name="_xlnm.Print_Area" localSheetId="1">DFT!$D$2:$I$49</definedName>
    <definedName name="_xlnm.Print_Area" localSheetId="2">'DFT 2'!$D$2:$Q$50</definedName>
    <definedName name="_xlnm.Print_Area" localSheetId="0">Geral!$D$2:$R$50</definedName>
    <definedName name="_xlnm.Print_Area" localSheetId="3">'TR 1'!$D$2:$R$50</definedName>
    <definedName name="_xlnm.Print_Area" localSheetId="4">'TR 2'!$D$2:$R$50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8" i="8" l="1"/>
  <c r="L48" i="8"/>
  <c r="J48" i="8"/>
  <c r="N41" i="8"/>
  <c r="J41" i="8"/>
  <c r="N40" i="8"/>
  <c r="J33" i="8"/>
  <c r="N29" i="8"/>
  <c r="J28" i="8"/>
  <c r="N27" i="8"/>
  <c r="N22" i="8"/>
  <c r="L22" i="8"/>
  <c r="N21" i="8"/>
  <c r="L21" i="8"/>
  <c r="N20" i="8"/>
  <c r="L20" i="8"/>
  <c r="N19" i="8"/>
  <c r="L19" i="8"/>
  <c r="N18" i="8"/>
  <c r="L18" i="8"/>
  <c r="N17" i="8"/>
  <c r="L17" i="8"/>
  <c r="L8" i="8"/>
  <c r="N6" i="8"/>
  <c r="B3" i="8"/>
  <c r="P48" i="6"/>
  <c r="Q48" i="6" s="1"/>
  <c r="N48" i="6"/>
  <c r="L48" i="6"/>
  <c r="J48" i="6"/>
  <c r="P47" i="6"/>
  <c r="Q47" i="6" s="1"/>
  <c r="Q46" i="6"/>
  <c r="P46" i="6"/>
  <c r="P45" i="6"/>
  <c r="Q45" i="6" s="1"/>
  <c r="P44" i="6"/>
  <c r="Q44" i="6" s="1"/>
  <c r="Q43" i="6"/>
  <c r="P43" i="6"/>
  <c r="P42" i="6"/>
  <c r="Q42" i="6" s="1"/>
  <c r="P41" i="6"/>
  <c r="Q41" i="6" s="1"/>
  <c r="N41" i="6"/>
  <c r="J41" i="6"/>
  <c r="Q40" i="6"/>
  <c r="P40" i="6"/>
  <c r="N40" i="6"/>
  <c r="P39" i="6"/>
  <c r="Q39" i="6" s="1"/>
  <c r="P38" i="6"/>
  <c r="Q38" i="6" s="1"/>
  <c r="Q37" i="6"/>
  <c r="P37" i="6"/>
  <c r="Q36" i="6"/>
  <c r="P36" i="6"/>
  <c r="P35" i="6"/>
  <c r="Q35" i="6" s="1"/>
  <c r="P34" i="6"/>
  <c r="Q34" i="6" s="1"/>
  <c r="J33" i="6"/>
  <c r="P33" i="6" s="1"/>
  <c r="Q33" i="6" s="1"/>
  <c r="P32" i="6"/>
  <c r="Q32" i="6" s="1"/>
  <c r="Q31" i="6"/>
  <c r="P31" i="6"/>
  <c r="P30" i="6"/>
  <c r="Q30" i="6" s="1"/>
  <c r="N29" i="6"/>
  <c r="P29" i="6" s="1"/>
  <c r="Q29" i="6" s="1"/>
  <c r="J28" i="6"/>
  <c r="P28" i="6" s="1"/>
  <c r="Q28" i="6" s="1"/>
  <c r="N27" i="6"/>
  <c r="P27" i="6" s="1"/>
  <c r="Q27" i="6" s="1"/>
  <c r="P26" i="6"/>
  <c r="Q26" i="6" s="1"/>
  <c r="P25" i="6"/>
  <c r="Q25" i="6" s="1"/>
  <c r="Q24" i="6"/>
  <c r="P24" i="6"/>
  <c r="P23" i="6"/>
  <c r="Q23" i="6" s="1"/>
  <c r="N22" i="6"/>
  <c r="P22" i="6" s="1"/>
  <c r="Q22" i="6" s="1"/>
  <c r="L22" i="6"/>
  <c r="P21" i="6"/>
  <c r="Q21" i="6" s="1"/>
  <c r="N21" i="6"/>
  <c r="L21" i="6"/>
  <c r="N20" i="6"/>
  <c r="P20" i="6" s="1"/>
  <c r="Q20" i="6" s="1"/>
  <c r="L20" i="6"/>
  <c r="N19" i="6"/>
  <c r="P19" i="6" s="1"/>
  <c r="Q19" i="6" s="1"/>
  <c r="L19" i="6"/>
  <c r="N18" i="6"/>
  <c r="P18" i="6" s="1"/>
  <c r="Q18" i="6" s="1"/>
  <c r="L18" i="6"/>
  <c r="N17" i="6"/>
  <c r="P17" i="6" s="1"/>
  <c r="Q17" i="6" s="1"/>
  <c r="L17" i="6"/>
  <c r="P16" i="6"/>
  <c r="Q16" i="6" s="1"/>
  <c r="Q15" i="6"/>
  <c r="P15" i="6"/>
  <c r="Q14" i="6"/>
  <c r="P14" i="6"/>
  <c r="P13" i="6"/>
  <c r="Q13" i="6" s="1"/>
  <c r="L8" i="6"/>
  <c r="P8" i="6" s="1"/>
  <c r="Q8" i="6" s="1"/>
  <c r="Q7" i="6"/>
  <c r="P7" i="6"/>
  <c r="P6" i="6"/>
  <c r="Q6" i="6" s="1"/>
  <c r="N6" i="6"/>
  <c r="P5" i="6"/>
  <c r="Q5" i="6" s="1"/>
  <c r="B4" i="8" l="1"/>
  <c r="B5" i="8" s="1"/>
  <c r="Q49" i="6"/>
  <c r="B4" i="6" s="1"/>
  <c r="Q9" i="6"/>
  <c r="B3" i="6" s="1"/>
  <c r="B5" i="6" s="1"/>
  <c r="M48" i="4"/>
  <c r="O48" i="4" s="1"/>
  <c r="P48" i="4" s="1"/>
  <c r="K48" i="4"/>
  <c r="I48" i="4"/>
  <c r="O47" i="4"/>
  <c r="P47" i="4" s="1"/>
  <c r="O46" i="4"/>
  <c r="P46" i="4" s="1"/>
  <c r="O45" i="4"/>
  <c r="P45" i="4" s="1"/>
  <c r="O44" i="4"/>
  <c r="P44" i="4" s="1"/>
  <c r="O43" i="4"/>
  <c r="P43" i="4" s="1"/>
  <c r="O42" i="4"/>
  <c r="P42" i="4" s="1"/>
  <c r="M41" i="4"/>
  <c r="I41" i="4"/>
  <c r="M40" i="4"/>
  <c r="O40" i="4" s="1"/>
  <c r="P40" i="4" s="1"/>
  <c r="O39" i="4"/>
  <c r="P39" i="4" s="1"/>
  <c r="O38" i="4"/>
  <c r="P38" i="4" s="1"/>
  <c r="O37" i="4"/>
  <c r="P37" i="4" s="1"/>
  <c r="O36" i="4"/>
  <c r="P36" i="4" s="1"/>
  <c r="O35" i="4"/>
  <c r="P35" i="4" s="1"/>
  <c r="O34" i="4"/>
  <c r="P34" i="4" s="1"/>
  <c r="I33" i="4"/>
  <c r="O33" i="4" s="1"/>
  <c r="P33" i="4" s="1"/>
  <c r="O32" i="4"/>
  <c r="P32" i="4" s="1"/>
  <c r="O31" i="4"/>
  <c r="P31" i="4" s="1"/>
  <c r="O30" i="4"/>
  <c r="P30" i="4" s="1"/>
  <c r="M29" i="4"/>
  <c r="O29" i="4" s="1"/>
  <c r="P29" i="4" s="1"/>
  <c r="I28" i="4"/>
  <c r="O28" i="4" s="1"/>
  <c r="P28" i="4" s="1"/>
  <c r="M27" i="4"/>
  <c r="O27" i="4" s="1"/>
  <c r="P27" i="4" s="1"/>
  <c r="O26" i="4"/>
  <c r="P26" i="4" s="1"/>
  <c r="O25" i="4"/>
  <c r="P25" i="4" s="1"/>
  <c r="O24" i="4"/>
  <c r="P24" i="4" s="1"/>
  <c r="O23" i="4"/>
  <c r="P23" i="4" s="1"/>
  <c r="M22" i="4"/>
  <c r="K22" i="4"/>
  <c r="M21" i="4"/>
  <c r="K21" i="4"/>
  <c r="M20" i="4"/>
  <c r="K20" i="4"/>
  <c r="M19" i="4"/>
  <c r="K19" i="4"/>
  <c r="M18" i="4"/>
  <c r="O18" i="4" s="1"/>
  <c r="P18" i="4" s="1"/>
  <c r="K18" i="4"/>
  <c r="M17" i="4"/>
  <c r="O17" i="4" s="1"/>
  <c r="P17" i="4" s="1"/>
  <c r="K17" i="4"/>
  <c r="O16" i="4"/>
  <c r="P16" i="4" s="1"/>
  <c r="O15" i="4"/>
  <c r="P15" i="4" s="1"/>
  <c r="O14" i="4"/>
  <c r="P14" i="4" s="1"/>
  <c r="O13" i="4"/>
  <c r="P13" i="4" s="1"/>
  <c r="K8" i="4"/>
  <c r="O8" i="4" s="1"/>
  <c r="P8" i="4" s="1"/>
  <c r="O7" i="4"/>
  <c r="P7" i="4" s="1"/>
  <c r="M6" i="4"/>
  <c r="O6" i="4" s="1"/>
  <c r="P6" i="4" s="1"/>
  <c r="O5" i="4"/>
  <c r="P5" i="4" s="1"/>
  <c r="P9" i="4" s="1"/>
  <c r="B3" i="4" s="1"/>
  <c r="B3" i="1"/>
  <c r="O21" i="4" l="1"/>
  <c r="P21" i="4" s="1"/>
  <c r="O41" i="4"/>
  <c r="P41" i="4" s="1"/>
  <c r="O19" i="4"/>
  <c r="P19" i="4" s="1"/>
  <c r="O20" i="4"/>
  <c r="P20" i="4" s="1"/>
  <c r="P49" i="4" s="1"/>
  <c r="B4" i="4" s="1"/>
  <c r="B5" i="4" s="1"/>
  <c r="O22" i="4"/>
  <c r="P22" i="4" s="1"/>
  <c r="N48" i="1"/>
  <c r="P48" i="1" s="1"/>
  <c r="Q48" i="1" s="1"/>
  <c r="L48" i="1"/>
  <c r="J48" i="1"/>
  <c r="P47" i="1" l="1"/>
  <c r="Q47" i="1" s="1"/>
  <c r="N41" i="1"/>
  <c r="J41" i="1"/>
  <c r="N40" i="1" l="1"/>
  <c r="J33" i="1"/>
  <c r="N29" i="1" l="1"/>
  <c r="J28" i="1"/>
  <c r="N27" i="1"/>
  <c r="N18" i="1" l="1"/>
  <c r="N19" i="1"/>
  <c r="N20" i="1"/>
  <c r="N21" i="1"/>
  <c r="P21" i="1" s="1"/>
  <c r="Q21" i="1" s="1"/>
  <c r="N22" i="1"/>
  <c r="N17" i="1"/>
  <c r="L18" i="1"/>
  <c r="L19" i="1"/>
  <c r="P19" i="1" s="1"/>
  <c r="Q19" i="1" s="1"/>
  <c r="L20" i="1"/>
  <c r="P20" i="1" s="1"/>
  <c r="Q20" i="1" s="1"/>
  <c r="L21" i="1"/>
  <c r="L22" i="1"/>
  <c r="L17" i="1"/>
  <c r="P17" i="1" s="1"/>
  <c r="Q17" i="1" s="1"/>
  <c r="P15" i="1"/>
  <c r="Q15" i="1" s="1"/>
  <c r="P45" i="1"/>
  <c r="Q45" i="1" s="1"/>
  <c r="P46" i="1"/>
  <c r="Q46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16" i="1"/>
  <c r="Q16" i="1" s="1"/>
  <c r="P14" i="1"/>
  <c r="Q14" i="1" s="1"/>
  <c r="P13" i="1"/>
  <c r="Q13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4" i="1"/>
  <c r="Q44" i="1" s="1"/>
  <c r="P43" i="1"/>
  <c r="Q43" i="1" s="1"/>
  <c r="P42" i="1"/>
  <c r="Q42" i="1" s="1"/>
  <c r="N6" i="1"/>
  <c r="P6" i="1" s="1"/>
  <c r="Q6" i="1" s="1"/>
  <c r="L8" i="1"/>
  <c r="P7" i="1"/>
  <c r="Q7" i="1" s="1"/>
  <c r="P8" i="1"/>
  <c r="Q8" i="1" s="1"/>
  <c r="P5" i="1"/>
  <c r="Q5" i="1" s="1"/>
  <c r="Q9" i="1" l="1"/>
  <c r="P22" i="1"/>
  <c r="Q22" i="1" s="1"/>
  <c r="P18" i="1"/>
  <c r="Q18" i="1" s="1"/>
  <c r="Q49" i="1"/>
  <c r="B4" i="1" s="1"/>
  <c r="B5" i="1" s="1"/>
</calcChain>
</file>

<file path=xl/sharedStrings.xml><?xml version="1.0" encoding="utf-8"?>
<sst xmlns="http://schemas.openxmlformats.org/spreadsheetml/2006/main" count="1174" uniqueCount="93">
  <si>
    <t>Item</t>
  </si>
  <si>
    <t>Qtde</t>
  </si>
  <si>
    <t>Unid</t>
  </si>
  <si>
    <t>Discriminação</t>
  </si>
  <si>
    <t>Valor Unitário Máximo</t>
  </si>
  <si>
    <t>Valor Total Máximo</t>
  </si>
  <si>
    <t>Siafísico</t>
  </si>
  <si>
    <t>Cotação 1</t>
  </si>
  <si>
    <t>Link</t>
  </si>
  <si>
    <t>Cotação 2</t>
  </si>
  <si>
    <t>Cotação 3</t>
  </si>
  <si>
    <t>Média</t>
  </si>
  <si>
    <t>Valor Total</t>
  </si>
  <si>
    <t>link</t>
  </si>
  <si>
    <t>Lote 1</t>
  </si>
  <si>
    <t>metros</t>
  </si>
  <si>
    <r>
      <t>Cabo de Instrumentação/Sinal 1x2x2,50 mm2</t>
    </r>
    <r>
      <rPr>
        <sz val="11"/>
        <color rgb="FF000000"/>
        <rFont val="Calibri"/>
        <family val="2"/>
        <scheme val="minor"/>
      </rPr>
      <t>;  com 1 par (2 vias internas) de 2,5 mm2 com cores distintas + dreno 0,50 mm2 (ou blindagem em malha de cobre estanhada) / Para tensões até 300V /  100% cobre eletrolítico nu com classe de encordoamento 5 / isolação e cobertura em PVC ST2 105°C na cor preta / Blindagem em fita aluminizada não higroscópica e com dreno em cobre estanhado ou blindagem em malha de cobre estanhada / Atendendo à NBR 10300 / A ser fornecido em rolos com metragem mínima de 200 metros cada / Modelo de referência: Conduscamp código 033.0614.01.01</t>
    </r>
  </si>
  <si>
    <t>Fio telefônico para jumper; Fio telefônico interno para conexões do tipo jumper / Modelo FDG / Com 02(dois) condutores / Com diâmetro de 0,50 mm² (24AWG) / Composto de fio de cobre eletrolítico maciço estanhado /Isolante do fio condutor em PVC / Na cor laranja e preta / Certificação e homologação da Anatel e deverá atender à norma NBR 9123 / Marca de referência: Multitoc</t>
  </si>
  <si>
    <t xml:space="preserve">Cabo Coaxial RG06; / Condutor interno de aço cobreado de ≅1 mm / Dielétrico em polietileno expandido de ≅ 4,5mm / Fita de alumínio aderindo ao dielétrico (1ª blindagem)/ Malha de alumínio - mínima de 90% (2ª blindagem) / Capa em PVC não propagante de chamas / Impedância média de 75 Ohms / Homologado pela Anatel / Marcas de referência: Megatron, Cabletech </t>
  </si>
  <si>
    <t>rolo de 100 metros</t>
  </si>
  <si>
    <t>rolo de 500 metros</t>
  </si>
  <si>
    <t>Total Lote 1</t>
  </si>
  <si>
    <t>Cabo de Instrumentação/Sinal 1x2x1,00 mm²; com 1 par (2 vias internas) de 1,0 mm² com cores distintas + dreno 0,50 mm² (ou blindagem em malha de cobre estanhada) / Para tensões até 300V / 100% cobre eletrolítico nu com classe de encordoamento 5; isolação e cobertura em PVC ST2 105°C na cor preta / Blindagem em fita aluminizada não higroscópica e com dreno em cobre estanhado ou blindagem em malha de cobre estanhada / Atendendo à NBR 10300 / A ser fornecido em rolos com metragem mínima de 200 metros cada / Modelo de referência: Conduscamp código 033.0612.01.01</t>
  </si>
  <si>
    <t>Total Lote 2</t>
  </si>
  <si>
    <t>Lote 2</t>
  </si>
  <si>
    <t>unidade</t>
  </si>
  <si>
    <r>
      <t xml:space="preserve">Knob estriado com parafuso para potenciômetro; </t>
    </r>
    <r>
      <rPr>
        <sz val="11"/>
        <color rgb="FF000000"/>
        <rFont val="Calibri"/>
        <family val="2"/>
      </rPr>
      <t>na cor preta</t>
    </r>
    <r>
      <rPr>
        <b/>
        <sz val="11"/>
        <color rgb="FF000000"/>
        <rFont val="Calibri"/>
        <family val="2"/>
      </rPr>
      <t xml:space="preserve"> / </t>
    </r>
    <r>
      <rPr>
        <sz val="11"/>
        <color rgb="FF000000"/>
        <rFont val="Calibri"/>
        <family val="2"/>
      </rPr>
      <t xml:space="preserve">Medidas: </t>
    </r>
  </si>
  <si>
    <t>pacote</t>
  </si>
  <si>
    <r>
      <t>Abraçadeira 2,5mm x 100mm T18R</t>
    </r>
    <r>
      <rPr>
        <sz val="11"/>
        <color rgb="FF000000"/>
        <rFont val="Calibri"/>
        <family val="2"/>
      </rPr>
      <t xml:space="preserve"> preta pacote com 100 peças.</t>
    </r>
  </si>
  <si>
    <r>
      <t>Botão de comando 22mm</t>
    </r>
    <r>
      <rPr>
        <sz val="11"/>
        <color rgb="FF000000"/>
        <rFont val="Calibri"/>
        <family val="2"/>
      </rPr>
      <t xml:space="preserve"> com rosca - NA + NF - LA39J-11B. Se possível, 4 de uma cor e 4 de outra.</t>
    </r>
  </si>
  <si>
    <t>metro</t>
  </si>
  <si>
    <r>
      <t>Cabo flexível 0,20mm</t>
    </r>
    <r>
      <rPr>
        <sz val="11"/>
        <color rgb="FF000000"/>
        <rFont val="Calibri"/>
        <family val="2"/>
      </rPr>
      <t xml:space="preserve"> amarelo.</t>
    </r>
  </si>
  <si>
    <r>
      <t>Cabo flexível 0,20mm</t>
    </r>
    <r>
      <rPr>
        <sz val="11"/>
        <color rgb="FF000000"/>
        <rFont val="Calibri"/>
        <family val="2"/>
      </rPr>
      <t xml:space="preserve"> azul.</t>
    </r>
  </si>
  <si>
    <r>
      <t>Cabo flexível 0,20mm</t>
    </r>
    <r>
      <rPr>
        <sz val="11"/>
        <color rgb="FF000000"/>
        <rFont val="Calibri"/>
        <family val="2"/>
      </rPr>
      <t xml:space="preserve"> branco.</t>
    </r>
  </si>
  <si>
    <r>
      <t>Cabo flexível 0,20mm</t>
    </r>
    <r>
      <rPr>
        <sz val="11"/>
        <color rgb="FF000000"/>
        <rFont val="Calibri"/>
        <family val="2"/>
      </rPr>
      <t xml:space="preserve"> preto.</t>
    </r>
  </si>
  <si>
    <r>
      <t>Cabo flexível 0,20mm</t>
    </r>
    <r>
      <rPr>
        <sz val="11"/>
        <color rgb="FF000000"/>
        <rFont val="Calibri"/>
        <family val="2"/>
      </rPr>
      <t xml:space="preserve"> verde.</t>
    </r>
  </si>
  <si>
    <r>
      <t>Cabo flexível 0,20mm</t>
    </r>
    <r>
      <rPr>
        <sz val="11"/>
        <color rgb="FF000000"/>
        <rFont val="Calibri"/>
        <family val="2"/>
      </rPr>
      <t xml:space="preserve"> vermelho.</t>
    </r>
  </si>
  <si>
    <r>
      <t xml:space="preserve">Caixa de passagem elétrica 190x140x70 mm, </t>
    </r>
    <r>
      <rPr>
        <sz val="11"/>
        <color rgb="FF000000"/>
        <rFont val="Calibri"/>
        <family val="2"/>
      </rPr>
      <t>de sobrepor, em PVC, IP66.</t>
    </r>
  </si>
  <si>
    <r>
      <t>Conversor de dados RS-485 para USB.</t>
    </r>
    <r>
      <rPr>
        <sz val="11"/>
        <color rgb="FF000000"/>
        <rFont val="Calibri"/>
        <family val="2"/>
      </rPr>
      <t xml:space="preserve"> Ref.: Modelo ZK-U485.</t>
    </r>
  </si>
  <si>
    <r>
      <t>Conversor industrial RS232 para RS485</t>
    </r>
    <r>
      <rPr>
        <sz val="11"/>
        <color rgb="FF000000"/>
        <rFont val="Calibri"/>
        <family val="2"/>
      </rPr>
      <t xml:space="preserve"> Modelo Sintechi STM485.</t>
    </r>
  </si>
  <si>
    <r>
      <t>Display LCD 20x4</t>
    </r>
    <r>
      <rPr>
        <sz val="11"/>
        <color rgb="FF000000"/>
        <rFont val="Calibri"/>
        <family val="2"/>
      </rPr>
      <t xml:space="preserve"> com backlight azul, escrita branca e I2C, dim 98,0 X 60,0 X 14,0mm, alimentação 5,0 VDC.</t>
    </r>
  </si>
  <si>
    <r>
      <t>Espaçador cilíndrico em Poliacetal</t>
    </r>
    <r>
      <rPr>
        <sz val="11"/>
        <color rgb="FF000000"/>
        <rFont val="Calibri"/>
        <family val="2"/>
      </rPr>
      <t xml:space="preserve"> branco, fêmea x fêmea - rosca M3 6x3x10mm.</t>
    </r>
  </si>
  <si>
    <r>
      <t>Estanho para solda</t>
    </r>
    <r>
      <rPr>
        <sz val="11"/>
        <color rgb="FF000000"/>
        <rFont val="Calibri"/>
        <family val="2"/>
      </rPr>
      <t xml:space="preserve"> em tubo 63x37mm, espessura 0,5mm. Ref.: Best.</t>
    </r>
  </si>
  <si>
    <r>
      <t>Filtro supressor de ruído</t>
    </r>
    <r>
      <rPr>
        <sz val="11"/>
        <color rgb="FF000000"/>
        <rFont val="Calibri"/>
        <family val="2"/>
      </rPr>
      <t xml:space="preserve"> para 24-240 VCA. Ref.: CCA.</t>
    </r>
  </si>
  <si>
    <r>
      <t>Fita isolante líquida</t>
    </r>
    <r>
      <rPr>
        <sz val="11"/>
        <color rgb="FF000000"/>
        <rFont val="Calibri"/>
        <family val="2"/>
      </rPr>
      <t xml:space="preserve"> 50g. Ref.:Quimatic.</t>
    </r>
  </si>
  <si>
    <r>
      <t xml:space="preserve">Fonte chaveada </t>
    </r>
    <r>
      <rPr>
        <sz val="11"/>
        <color rgb="FF000000"/>
        <rFont val="Calibri"/>
        <family val="2"/>
      </rPr>
      <t>entrada bivolt saída 5,0 VDC 1A com cabo AC.</t>
    </r>
  </si>
  <si>
    <r>
      <t>Fonte de alimentação chaveada</t>
    </r>
    <r>
      <rPr>
        <sz val="11"/>
        <color rgb="FF000000"/>
        <rFont val="Calibri"/>
        <family val="2"/>
      </rPr>
      <t xml:space="preserve"> entrada bivolt saída 24 VDC 3A plug P4 de 2,1mm com cabo AC.</t>
    </r>
  </si>
  <si>
    <r>
      <t>Kit Jumper</t>
    </r>
    <r>
      <rPr>
        <sz val="11"/>
        <color rgb="FF000000"/>
        <rFont val="Calibri"/>
        <family val="2"/>
      </rPr>
      <t xml:space="preserve"> Fêmea x Fêmea 20cm - 40 peças.</t>
    </r>
  </si>
  <si>
    <r>
      <t>Kit Jumper</t>
    </r>
    <r>
      <rPr>
        <sz val="11"/>
        <color rgb="FF000000"/>
        <rFont val="Calibri"/>
        <family val="2"/>
      </rPr>
      <t xml:space="preserve"> Macho x Fêmea 20cm - 40 peças.</t>
    </r>
  </si>
  <si>
    <r>
      <t>Kit Jumper</t>
    </r>
    <r>
      <rPr>
        <sz val="11"/>
        <color rgb="FF000000"/>
        <rFont val="Calibri"/>
        <family val="2"/>
      </rPr>
      <t xml:space="preserve"> Macho x Macho 20cm - 40 peças.</t>
    </r>
  </si>
  <si>
    <r>
      <t>Módulo I/O 4x4 12C</t>
    </r>
    <r>
      <rPr>
        <sz val="11"/>
        <color rgb="FF000000"/>
        <rFont val="Calibri"/>
        <family val="2"/>
      </rPr>
      <t>. 4 entradas NPN*/PNP, 4 saídas a relé e comunicação I2C, tensão de alimentação default 24 VDC. Ref.: Crescer Ind. Automação.</t>
    </r>
  </si>
  <si>
    <r>
      <t>Módulo LoRa 915MHz 100mW</t>
    </r>
    <r>
      <rPr>
        <sz val="11"/>
        <color rgb="FF000000"/>
        <rFont val="Calibri"/>
        <family val="2"/>
      </rPr>
      <t>. Inclui antena helicoidal de 915Mhz (2dBi, 12.5mm, 50 Ohm), tensão de alimentação 1,8-3,7 VDC. Ref.: LoRa1276 V2.0.</t>
    </r>
  </si>
  <si>
    <r>
      <t>Módulo sensor temperatura e umidade</t>
    </r>
    <r>
      <rPr>
        <sz val="11"/>
        <color rgb="FF000000"/>
        <rFont val="Calibri"/>
        <family val="2"/>
      </rPr>
      <t>. Usa internamente SHT40, tensão de alimentação 5-30 VDC. Ref.: XY-MD02.</t>
    </r>
  </si>
  <si>
    <r>
      <t>Placa CPB32h</t>
    </r>
    <r>
      <rPr>
        <sz val="11"/>
        <color rgb="FF000000"/>
        <rFont val="Calibri"/>
        <family val="2"/>
      </rPr>
      <t>.</t>
    </r>
    <r>
      <rPr>
        <sz val="12"/>
        <color rgb="FF000000"/>
        <rFont val="Times New Roman"/>
        <family val="1"/>
      </rPr>
      <t xml:space="preserve"> Tensão de alimentação </t>
    </r>
    <r>
      <rPr>
        <sz val="11"/>
        <color rgb="FF000000"/>
        <rFont val="Calibri"/>
        <family val="2"/>
      </rPr>
      <t>default 24 VDC e interface de comunicação RS485. Ref.: Crescer Ind. Automação.</t>
    </r>
  </si>
  <si>
    <r>
      <t>Placas padrão CI</t>
    </r>
    <r>
      <rPr>
        <sz val="11"/>
        <color rgb="FF000000"/>
        <rFont val="Calibri"/>
        <family val="2"/>
      </rPr>
      <t xml:space="preserve"> (ilha desligada) 7x9 cm.</t>
    </r>
  </si>
  <si>
    <r>
      <t>Plug macho DB-9</t>
    </r>
    <r>
      <rPr>
        <sz val="11"/>
        <color rgb="FF000000"/>
        <rFont val="Calibri"/>
        <family val="2"/>
      </rPr>
      <t>.</t>
    </r>
  </si>
  <si>
    <t>Protoboard 400 pontos</t>
  </si>
  <si>
    <r>
      <t>Resistor 120 ohms</t>
    </r>
    <r>
      <rPr>
        <sz val="11"/>
        <color rgb="FF000000"/>
        <rFont val="Calibri"/>
        <family val="2"/>
      </rPr>
      <t xml:space="preserve"> 1/4 W.</t>
    </r>
  </si>
  <si>
    <r>
      <t>Resistor 4,7K ohms</t>
    </r>
    <r>
      <rPr>
        <sz val="11"/>
        <color rgb="FF000000"/>
        <rFont val="Calibri"/>
        <family val="2"/>
      </rPr>
      <t xml:space="preserve"> 1/4 W.</t>
    </r>
  </si>
  <si>
    <r>
      <t>Sensor de nível por pressão de água</t>
    </r>
    <r>
      <rPr>
        <sz val="11"/>
        <color rgb="FF000000"/>
        <rFont val="Calibri"/>
        <family val="2"/>
      </rPr>
      <t>. Com range 8m, 10m de cabo, saída de dados RS-485, tensão de alimentação 24 VDC. Ref.: QDY30A XUYANGQIDIAN. (Considerar prazo de 60 dias para entrega deste item)</t>
    </r>
  </si>
  <si>
    <r>
      <t>Sensor temperatura DS18B20 à prova de água</t>
    </r>
    <r>
      <rPr>
        <sz val="11"/>
        <color rgb="FF000000"/>
        <rFont val="Calibri"/>
        <family val="2"/>
      </rPr>
      <t>. Com mínimo de 2m de cabo e tensão de alimentação 3-5VDC.</t>
    </r>
  </si>
  <si>
    <r>
      <t>Sensores de fase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SCT-013-015</t>
    </r>
  </si>
  <si>
    <r>
      <t xml:space="preserve">Knob estriado com parafuso para potenciômetro; </t>
    </r>
    <r>
      <rPr>
        <sz val="11"/>
        <color rgb="FF000000"/>
        <rFont val="Calibri"/>
        <family val="2"/>
      </rPr>
      <t>na cor preta</t>
    </r>
    <r>
      <rPr>
        <b/>
        <sz val="11"/>
        <color rgb="FF000000"/>
        <rFont val="Calibri"/>
        <family val="2"/>
      </rPr>
      <t xml:space="preserve"> / </t>
    </r>
    <r>
      <rPr>
        <sz val="11"/>
        <color rgb="FF000000"/>
        <rFont val="Calibri"/>
        <family val="2"/>
      </rPr>
      <t>Medidas: diâmetro do furo entre 6 e 7mm, diâmetro externo entre 18 e 20mm, altura entre 14 e 15mm;</t>
    </r>
  </si>
  <si>
    <r>
      <t>Abraçadeira Nylon 2,5mm x 100mm T18R</t>
    </r>
    <r>
      <rPr>
        <sz val="11"/>
        <color rgb="FF000000"/>
        <rFont val="Calibri"/>
        <family val="2"/>
      </rPr>
      <t xml:space="preserve"> preta pacote com 100 peças.</t>
    </r>
  </si>
  <si>
    <r>
      <t xml:space="preserve">Botão de comando monobloco  vermelho - </t>
    </r>
    <r>
      <rPr>
        <sz val="11"/>
        <color rgb="FF000000"/>
        <rFont val="Calibri"/>
        <family val="2"/>
      </rPr>
      <t>Para furo de 22 mm com rosca - NA + NF. Referência: Fabricante: JNG, Modelo: LA39J-11BR</t>
    </r>
  </si>
  <si>
    <r>
      <t>Botão de comando monobloco  verde -</t>
    </r>
    <r>
      <rPr>
        <sz val="11"/>
        <color rgb="FF000000"/>
        <rFont val="Calibri"/>
        <family val="2"/>
      </rPr>
      <t xml:space="preserve"> Para furo de 22 mm com rosca - NA + NF. Referência: Fabricante: JNG, Modelo: LA39J-11BG</t>
    </r>
  </si>
  <si>
    <r>
      <t>Conversor industrial RS232 para RS485</t>
    </r>
    <r>
      <rPr>
        <sz val="11"/>
        <color rgb="FF000000"/>
        <rFont val="Calibri"/>
        <family val="2"/>
      </rPr>
      <t xml:space="preserve"> Ref.: Modelo Sintechi STM485.</t>
    </r>
  </si>
  <si>
    <r>
      <t xml:space="preserve">Caixa de passagem elétrica 190x140x70 mm, </t>
    </r>
    <r>
      <rPr>
        <sz val="11"/>
        <color rgb="FF000000"/>
        <rFont val="Calibri"/>
        <family val="2"/>
      </rPr>
      <t>de sobrepor, em PVC, com tampa,  IP66. Branca. Ref.: Marca Brum, modelo Brbox BRB04</t>
    </r>
  </si>
  <si>
    <r>
      <t xml:space="preserve">Estanho para solda 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em fio</t>
    </r>
    <r>
      <rPr>
        <sz val="11"/>
        <color rgb="FF000000"/>
        <rFont val="Calibri"/>
        <family val="2"/>
      </rPr>
      <t>, com fluxo, 1,0 mm, 63 x 37 ,tubo com 22g, Ref.: VONDER 74.38.633.715</t>
    </r>
  </si>
  <si>
    <r>
      <t xml:space="preserve">Fonte chaveada </t>
    </r>
    <r>
      <rPr>
        <sz val="11"/>
        <color rgb="FF000000"/>
        <rFont val="Calibri"/>
        <family val="2"/>
      </rPr>
      <t>entrada bivolt saída 5,0 VDC 1A plug P4 de 2,1mm com cabo AC.</t>
    </r>
  </si>
  <si>
    <r>
      <t>Plug macho DB-9</t>
    </r>
    <r>
      <rPr>
        <sz val="11"/>
        <color rgb="FF000000"/>
        <rFont val="Calibri"/>
        <family val="2"/>
      </rPr>
      <t>.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com capa;</t>
    </r>
  </si>
  <si>
    <r>
      <t xml:space="preserve">Protoboard </t>
    </r>
    <r>
      <rPr>
        <sz val="11"/>
        <color rgb="FF000000"/>
        <rFont val="Calibri"/>
        <family val="2"/>
      </rPr>
      <t>com 400 pontos de contato para montagem de circuitos eletrônicos experimentais;</t>
    </r>
  </si>
  <si>
    <r>
      <t>Resistor 120 ohms</t>
    </r>
    <r>
      <rPr>
        <sz val="11"/>
        <color rgb="FF000000"/>
        <rFont val="Calibri"/>
        <family val="2"/>
      </rPr>
      <t xml:space="preserve"> 1/4 W.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Com tolerância de 5%.</t>
    </r>
  </si>
  <si>
    <r>
      <t>Resistor 4,7K ohms</t>
    </r>
    <r>
      <rPr>
        <sz val="11"/>
        <color rgb="FF000000"/>
        <rFont val="Calibri"/>
        <family val="2"/>
      </rPr>
      <t xml:space="preserve"> 1/4 W.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Com tolerância de 5%.</t>
    </r>
  </si>
  <si>
    <r>
      <t xml:space="preserve">Controlador Lógico Programável. </t>
    </r>
    <r>
      <rPr>
        <sz val="11"/>
        <color rgb="FF000000"/>
        <rFont val="Calibri"/>
        <family val="2"/>
      </rPr>
      <t>Com tensão de alimentação de 24Vcc; Com 8 Entradas digitais; Com 4 entradas analógicas (de 0 a 10Vcc); Com porta RS485 Modbus; Com 8 Saídas digitais de Relé de 8A; Com display LCD com 4 linhas x 16 caracteres; Para programação em ladder ou diagrama de blocos da função (FDB); Com Cabo de Programação USB.   Referência: Marca WEG, Modelo CLIC CLW-02/20VR-D 3RD</t>
    </r>
  </si>
  <si>
    <t>link
Valor do cabo 521</t>
  </si>
  <si>
    <r>
      <t>Cabo Flexível 0,20mm² amarelo</t>
    </r>
    <r>
      <rPr>
        <sz val="11"/>
        <color rgb="FF000000"/>
        <rFont val="Calibri"/>
        <family val="2"/>
      </rPr>
      <t xml:space="preserve"> (24 AWG) 300V 70ºC -   condutor extra flexível em cobre estanhado,  isolação 70ºC, tensão de trabalho de 300V e cobertura em PVC;</t>
    </r>
  </si>
  <si>
    <r>
      <t xml:space="preserve">Cabo Flexível 0,20mm² azul </t>
    </r>
    <r>
      <rPr>
        <sz val="11"/>
        <color rgb="FF000000"/>
        <rFont val="Calibri"/>
        <family val="2"/>
      </rPr>
      <t>(24 AWG) 300V 70ºC -   condutor extra flexível em cobre estanhado,  isolação 70ºC, tensão de trabalho de 300V e cobertura em PVC;</t>
    </r>
  </si>
  <si>
    <r>
      <t xml:space="preserve">Cabo Flexível 0,20mm² branco </t>
    </r>
    <r>
      <rPr>
        <sz val="11"/>
        <color rgb="FF000000"/>
        <rFont val="Calibri"/>
        <family val="2"/>
      </rPr>
      <t>(24 AWG) 300V 70ºC -   condutor extra flexível em cobre estanhado,  isolação 70ºC, tensão de trabalho de 300V e cobertura em PVC;</t>
    </r>
  </si>
  <si>
    <r>
      <t>Cabo Flexível 0,20mm² preto</t>
    </r>
    <r>
      <rPr>
        <sz val="11"/>
        <color rgb="FF000000"/>
        <rFont val="Calibri"/>
        <family val="2"/>
      </rPr>
      <t xml:space="preserve"> (24 AWG) 300V 70ºC -   condutor extra flexível em cobre estanhado,  isolação 70ºC, tensão de trabalho de 300V e cobertura em PVC;</t>
    </r>
  </si>
  <si>
    <r>
      <t xml:space="preserve">Cabo Flexível 0,20mm² verde </t>
    </r>
    <r>
      <rPr>
        <sz val="11"/>
        <color rgb="FF000000"/>
        <rFont val="Calibri"/>
        <family val="2"/>
      </rPr>
      <t>(24 AWG) 300V 70ºC -   condutor extra flexível em cobre estanhado,  isolação 70ºC, tensão de trabalho de 300V e cobertura em PVC;</t>
    </r>
  </si>
  <si>
    <r>
      <t xml:space="preserve">Cabo Flexível 0,20mm² vermelho </t>
    </r>
    <r>
      <rPr>
        <sz val="11"/>
        <color rgb="FF000000"/>
        <rFont val="Calibri"/>
        <family val="2"/>
      </rPr>
      <t>(24 AWG) 300V 70ºC -   condutor extra flexível em cobre estanhado,  isolação 70ºC, tensão de trabalho de 300V e cobertura em PVC;</t>
    </r>
  </si>
  <si>
    <r>
      <t>Filtro supressor de ruído</t>
    </r>
    <r>
      <rPr>
        <sz val="11"/>
        <color rgb="FF000000"/>
        <rFont val="Calibri"/>
        <family val="2"/>
      </rPr>
      <t xml:space="preserve"> para 24-240. (Indutor/Capacitor) VCA. Ref.: CCA.</t>
    </r>
  </si>
  <si>
    <r>
      <t>Kit Jumper</t>
    </r>
    <r>
      <rPr>
        <sz val="11"/>
        <color rgb="FF000000"/>
        <rFont val="Calibri"/>
        <family val="2"/>
      </rPr>
      <t xml:space="preserve"> Fêmea x Fêmea 20cm para Protoboard - 40 peças.</t>
    </r>
  </si>
  <si>
    <r>
      <t>Kit Jumper</t>
    </r>
    <r>
      <rPr>
        <sz val="11"/>
        <color rgb="FF000000"/>
        <rFont val="Calibri"/>
        <family val="2"/>
      </rPr>
      <t xml:space="preserve"> Macho x Fêmea 20cm para Protoboard - 40 peças.</t>
    </r>
  </si>
  <si>
    <r>
      <t>Kit Jumper</t>
    </r>
    <r>
      <rPr>
        <sz val="11"/>
        <color rgb="FF000000"/>
        <rFont val="Calibri"/>
        <family val="2"/>
      </rPr>
      <t xml:space="preserve"> Macho x Macho 20cm para Protoboard - 40 peças.</t>
    </r>
  </si>
  <si>
    <r>
      <t>Sensor de temperatura DS18B20 à prova de água</t>
    </r>
    <r>
      <rPr>
        <sz val="11"/>
        <color rgb="FF000000"/>
        <rFont val="Calibri"/>
        <family val="2"/>
      </rPr>
      <t>. Com mínimo de 2m de cabo e tensão de alimentação 3-5VDC.</t>
    </r>
  </si>
  <si>
    <r>
      <t>Sensor de corrente não invasivo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 xml:space="preserve">SCT-013-015. </t>
    </r>
    <r>
      <rPr>
        <sz val="11"/>
        <color rgb="FF000000"/>
        <rFont val="Calibri"/>
        <family val="2"/>
      </rPr>
      <t>Corrente de entrada: 0 a 15 A RMS (valor eficaz); Corrente máxima suportada: até 40 A; Sinal de saída: 1 V RMS proporcional à corrente medida; Precisão: ±1%; Material do núcleo: Ferrite; Temperatura de operação: -25 °C a +70 °C; Plugue de saída: Jack de 3,5 mm; Dimensões da abertura: 13 mm x 13 mm; Comprimento do cabo: aproximadamente 1 metro; Isolamento dielétrico: 6000 V AC por 1 minuto; Classificação de inflamabilidade: UL94-V0</t>
    </r>
  </si>
  <si>
    <t>Valor Total
Máximo</t>
  </si>
  <si>
    <t/>
  </si>
  <si>
    <t xml:space="preserve">  R$</t>
  </si>
  <si>
    <t>Valor unitário máximo</t>
  </si>
  <si>
    <t>Valor Total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</si>
</sst>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center" wrapText="1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8" fontId="5" fillId="0" borderId="6" xfId="0" applyNumberFormat="1" applyFont="1" applyBorder="1" applyAlignment="1">
      <alignment horizontal="right" vertical="center"/>
    </xf>
    <xf numFmtId="8" fontId="5" fillId="0" borderId="6" xfId="0" applyNumberFormat="1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2" fillId="2" borderId="1" xfId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0" fillId="3" borderId="0" xfId="0" quotePrefix="1" applyFill="1" applyAlignment="1">
      <alignment horizontal="center" vertical="center"/>
    </xf>
    <xf numFmtId="164" fontId="0" fillId="2" borderId="1" xfId="0" applyNumberForma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1" Type="http://schemas.openxmlformats.org/officeDocument/2006/relationships/hyperlink" Target="https://www.baudaeletronica.com.br/produto/resistor-4k7-5-14w.html?utm_source=Site&amp;utm_medium=GoogleMerchant&amp;utm_campaign=GoogleMerchant&amp;gad_source=4&amp;gad_campaignid=20292490697&amp;gbraid=0AAAAADonfB1aIj-umI0mhi8qVITJBlClA&amp;gclid=CjwKCAjw_-3GBhAYEiwAjh9fUNLMHgmtcbSBrNcaayNUgcL17p6W8BadMg-09E0imRsapUcax-NbJxoCvH4QAvD_BwE" TargetMode="External"/><Relationship Id="rId42" Type="http://schemas.openxmlformats.org/officeDocument/2006/relationships/hyperlink" Target="https://www.mercadolivre.com.br/espacador-nylon-diametro-6-x-10mm-rosca-m3-pct-com-50-pecas/up/MLBU1961816765" TargetMode="External"/><Relationship Id="rId47" Type="http://schemas.openxmlformats.org/officeDocument/2006/relationships/hyperlink" Target="https://www.multcomercial.com.br/knob-rotativo-com-parafuso-preto-kp-02p-scott.html?srsltid=AfmBOopy33v5akd8tOd2axjqwRIxZllTCjHERJTW0UzdJM2XNHkF2t4nYOQ" TargetMode="External"/><Relationship Id="rId63" Type="http://schemas.openxmlformats.org/officeDocument/2006/relationships/hyperlink" Target="https://www.mercadolivre.com.br/caixa-de-passagem-hermetica-branca-190x140x70mm-ip66-brbox/p/MLB26380286" TargetMode="External"/><Relationship Id="rId68" Type="http://schemas.openxmlformats.org/officeDocument/2006/relationships/hyperlink" Target="https://shopee.com.br/product/375037417/20869209865?gads_t_sig=VTJGc2RHVmtYMTlxTFVSVVRrdENkVHQ3ZkZSUTMrR3pBWmZZNzdrcnRBM2J5bmo0RmhiSHNXMVA0NHpwcnZyL0lvblVlNmRiak1ISGhJb0lOYkpjN09LeENpNk5yYUwxR25kZnFIYmRWWTRvcGNPdDcxTVlqT1YvNVgxN2hpYUozMDY0cVNweUpMdXVVVDJkdGNXdjRnPT0&amp;gad_source=4&amp;gad_campaignid=20824904870&amp;gbraid=0AAAAACoEtRmbgQJtRaxUe4IeOmnUWuKWp&amp;gclid=CjwKCAjw89jGBhB0EiwA2o1On2nXdlgP3_0nOixytHDNJ1wcMFZoVGl8b9JV3LErCtA5KsYPgE49dhoCc84QAvD_BwE" TargetMode="External"/><Relationship Id="rId84" Type="http://schemas.openxmlformats.org/officeDocument/2006/relationships/hyperlink" Target="https://www.fornell.com.br/produtos/kit-de-cabos-jumper-macho-x-femea-20cm/?variant=111519234&amp;pf=mc&amp;srsltid=AfmBOoqxp5DrWwSiyUzQUbP3-Q6p-so0lxmR6-Dl1hSYs8up2RLPggduvpk" TargetMode="External"/><Relationship Id="rId89" Type="http://schemas.openxmlformats.org/officeDocument/2006/relationships/hyperlink" Target="https://www.arducore.com.br/jumpers-macho-macho-x40-unidades-20cm?utm_source=Site&amp;utm_medium=GoogleMerchant&amp;utm_campaign=GoogleMerchant&amp;gad_source=4&amp;gad_campaignid=20396558769&amp;gbraid=0AAAAACrKHfeIk9Y3LbmfhbnWwKtZLFYG6&amp;gclid=Cj0KCQjw3OjGBhDYARIsADd-uX7h1w0hfzwIMibIK7cUKtFbi7ohW-Ccb8vJuQsxr61D6sp93aZCqCkaAvbtEALw_wcB" TargetMode="External"/><Relationship Id="rId112" Type="http://schemas.openxmlformats.org/officeDocument/2006/relationships/hyperlink" Target="https://www.mercadolivre.com.br/controlador-logico-clic02-clw02-20vrd-3rd-24vcc-11268449/up/MLBU2886663265?pdp_filters=item_id:MLB5213852204" TargetMode="External"/><Relationship Id="rId16" Type="http://schemas.openxmlformats.org/officeDocument/2006/relationships/hyperlink" Target="https://www.smartcomponentes.com/produto/protoboard-400-pontos.html?utm_source=Site&amp;utm_medium=GoogleMerchant&amp;utm_campaign=GoogleMerchant&amp;gad_source=1&amp;gad_campaignid=20016103399&amp;gbraid=0AAAAApKVtk8FKTV5Isxw7okQYChW4r8_-&amp;gclid=CjwKCAjw_-3GBhAYEiwAjh9fUDhaIchprGuOCUPVS2e6Or9jnJ_sTux8zoDIYm8PjjpRm15AjDTaWhoC_hYQAvD_BwE" TargetMode="External"/><Relationship Id="rId107" Type="http://schemas.openxmlformats.org/officeDocument/2006/relationships/hyperlink" Target="https://www.usinainfo.com.br/sensor-de-nivel-arduino/sensor-de-nivel-submersivel-para-liquidos-rs485-sonda-inox-304-3m-com-cabo-de-5m-9120.html?gad_source=4&amp;gad_campaignid=17181939790&amp;gbraid=0AAAAAD4ryP_9o8pTrnCPa2EcpO0b88nYo&amp;gclid=CjwKCAjw_-3GBhAYEiwAjh9fULMHofjia-w_zj9chCeVx4CDGIqkIRPw19dqTjVLX_f2KXiSPjMAdRoC-lkQAvD_BwE" TargetMode="External"/><Relationship Id="rId11" Type="http://schemas.openxmlformats.org/officeDocument/2006/relationships/hyperlink" Target="https://www.jccabos.com.br/oi315c8mg-cabo-coaxial-rg6-malha-95-rolo-300-metros-megatron?gad_source=1&amp;gad_campaignid=20771949283&amp;gbraid=0AAAAADLaxzNtRva4CX2jkdgEdiJpCJGQ7&amp;gclid=Cj0KCQjw267GBhCSARIsAOjVJ4FOoCEDfvIcXJwO47wRo0Mwsu7Gdoh6YBwHbxZN9dmUfXlwBZ8mv1UaAoa1EALw_wcB" TargetMode="External"/><Relationship Id="rId32" Type="http://schemas.openxmlformats.org/officeDocument/2006/relationships/hyperlink" Target="https://curtocircuito.com.br/display-lcd-20x4-backlight-azul-i2c.html?utm_term=&amp;utm_campaign=&amp;utm_source=adwords&amp;utm_medium=ppc&amp;hsa_acc=7016354091&amp;hsa_cam=20564613353&amp;hsa_grp=152310099103&amp;hsa_ad=674376925417&amp;hsa_src=g&amp;hsa_tgt=pla-384382900750&amp;hsa_kw=&amp;hsa_mt=&amp;hsa_net=adwords&amp;hsa_ver=3&amp;gad_source=4&amp;gad_campaignid=20564613353&amp;gbraid=0AAAAADLsNZ0773jOHW9RbciWOM2ZubAdd&amp;gclid=CjwKCAjw89jGBhB0EiwA2o1On4SvFkAwVsYtEGuchzPW9rEkTt9iwEYn9038VCxyuI1GbLKEI3cmhxoCQN8QAvD_BwE" TargetMode="External"/><Relationship Id="rId37" Type="http://schemas.openxmlformats.org/officeDocument/2006/relationships/hyperlink" Target="https://www.barataodosul.com.br/filtro-supressor-de-ruido-f-sr-para-corrente-alternada-24-240vca-10154-sibratec?utm_source=google&amp;utm_medium=Shopping&amp;utm_campaign=filtro-supressor-de-ruido-f-sr-para-corrente-alternada-24-240vca-10154-sibratec&amp;inStock&amp;gad_source=4&amp;gad_campaignid=21294307890&amp;gbraid=0AAAAAp1t8UVDmu2VmASSlWz1mIoMPPeLC&amp;gclid=CjwKCAjw89jGBhB0EiwA2o1On-eytuXTznN8utDG2xIeLIPahaZZgQKCvUCUxaAk9fMmpgSEIBlztRoCwCMQAvD_BwE" TargetMode="External"/><Relationship Id="rId53" Type="http://schemas.openxmlformats.org/officeDocument/2006/relationships/hyperlink" Target="https://www.mercadolivre.com.br/botao-pulsador-faceado-1na-1nf-la39j-amarelo-siemens/up/MLBU1403438108?pdp_filters=item_id:MLB1285956577" TargetMode="External"/><Relationship Id="rId58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74" Type="http://schemas.openxmlformats.org/officeDocument/2006/relationships/hyperlink" Target="https://www.nikkeypar.com.br/fita-isolante-liquida-preta-50g-quimatic-tapmatic-p46719" TargetMode="External"/><Relationship Id="rId79" Type="http://schemas.openxmlformats.org/officeDocument/2006/relationships/hyperlink" Target="https://www.leroymerlin.com.br/fonte-de-alimentacao-24v-3a-p4-fonte-24v-3a-bivolt-110-240v_1571766897?srsltid=AfmBOopwC-Gk4_Jpyz70tcy5Wibqr-eJPaEidCV6QdEj3cT_eC3jCdDKR1A" TargetMode="External"/><Relationship Id="rId102" Type="http://schemas.openxmlformats.org/officeDocument/2006/relationships/hyperlink" Target="https://www.mercadolivre.com.br/kit-10-conector-db9-macho-9-pinos--10-capas-rs232-serial/up/MLBU2882293820?pdp_filters=item_id:MLB5207064260" TargetMode="External"/><Relationship Id="rId5" Type="http://schemas.openxmlformats.org/officeDocument/2006/relationships/hyperlink" Target="https://www.mercadolivre.com.br/cabo-shield-blindado-2-vias-2x1mm-para-sinal-100mts/up/MLBU1468616041" TargetMode="External"/><Relationship Id="rId90" Type="http://schemas.openxmlformats.org/officeDocument/2006/relationships/hyperlink" Target="https://www.crescerengenharia.com/product-page/modulo-io-4x4-12c" TargetMode="External"/><Relationship Id="rId95" Type="http://schemas.openxmlformats.org/officeDocument/2006/relationships/hyperlink" Target="https://www.smartcomponentes.com/sensor-transmissor-de-temperatura-e-umidade-rs485-serial-modbus-rtu-xy-md02?utm_source=Site&amp;utm_medium=GoogleShopping&amp;utm_campaign=IntegracaoGoogle&amp;srsltid=AfmBOooj0Iemfbrlm5Erivbr2nngUOjCreT6Y2xqbhSA8--St9JB2RWjR6E" TargetMode="External"/><Relationship Id="rId22" Type="http://schemas.openxmlformats.org/officeDocument/2006/relationships/hyperlink" Target="https://www.casadoresistor.com.br/resistor-filme-carbono-carvao-cr25-1-4w-5-4k7?gad_source=4&amp;gad_campaignid=22313635597&amp;gbraid=0AAAAACPTU44uA8i18zbVQqnxe3I3fTuzf&amp;gclid=CjwKCAjw_-3GBhAYEiwAjh9fUCjuFVCNGX1QurrB2_jlG8D4RXDYXb4ZnX_KjISi4E_Ufwi4ZhSChxoC-Z8QAvD_BwE" TargetMode="External"/><Relationship Id="rId27" Type="http://schemas.openxmlformats.org/officeDocument/2006/relationships/hyperlink" Target="https://www.mercadolivre.com.br/cabo-shield-blindado-2-vias-2x1mm-para-sinal-100mts/up/MLBU1468616041" TargetMode="External"/><Relationship Id="rId43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48" Type="http://schemas.openxmlformats.org/officeDocument/2006/relationships/hyperlink" Target="https://www.santil.com.br/abracadeira-nylon-t18r-100x250mm-pacote-100-preto-hellermann/p?gad_source=1&amp;gad_campaignid=20630900380&amp;gbraid=0AAAAAD7srsauPq1ImyUhMz_kKDmzn5VjJ&amp;gclid=Cj0KCQjw267GBhCSARIsAOjVJ4GXGepPo4u7kt8Pjad7pt5zVySzk4arBHoKt8CGHuP6_RHjYbSzhCYaAsSoEALw_wcB" TargetMode="External"/><Relationship Id="rId64" Type="http://schemas.openxmlformats.org/officeDocument/2006/relationships/hyperlink" Target="https://www.distribuidorahg.com.br/caixa-de-passagem-eletrica-190x140x70-sobrepor-pvc-brbo4?utm_source=Site&amp;utm_medium=GoogleMerchant&amp;utm_campaign=GoogleMerchant&amp;gad_source=1&amp;gad_campaignid=20789756799&amp;gbraid=0AAAAAqVJmSP3oZPSxlHaFnl7qorbH1fjs&amp;gclid=CjwKCAjw89jGBhB0EiwA2o1On9Vj3pGm9lgwP655Gpd59Efvze9yxoXI6QoBR42kp9devKEREjhPzxoCf7UQAvD_BwE" TargetMode="External"/><Relationship Id="rId69" Type="http://schemas.openxmlformats.org/officeDocument/2006/relationships/hyperlink" Target="https://www.usinainfo.com.br/conversores-de-sinal/conversor-rs232-para-rs485-sintechi-passivo-stm485-h-5182.html?srsltid=AfmBOooTAZpaxOOapSkCPDlIsM5iHxnHN9fdhyThCsRE7018qol8alze" TargetMode="External"/><Relationship Id="rId113" Type="http://schemas.openxmlformats.org/officeDocument/2006/relationships/hyperlink" Target="https://www.refercomercio.com.br/comandos-eletricos/reles/controlador-logico-programavel-weg-clp-clic02-24vcc-20vr?parceiro=5922&amp;srsltid=AfmBOop0xT7a1KEuh7rNT9ctz37owkZvUrRlnJtkh7P4WL_hSLNhSIa2Pk0" TargetMode="External"/><Relationship Id="rId80" Type="http://schemas.openxmlformats.org/officeDocument/2006/relationships/hyperlink" Target="https://produto.mercadolivre.com.br/MLB-3702259590-fonte-de-alimentaco-24v-3a-p4-fonte-24v-3a-bivolt-110-240v-_JM" TargetMode="External"/><Relationship Id="rId85" Type="http://schemas.openxmlformats.org/officeDocument/2006/relationships/hyperlink" Target="https://www.mercadolivre.com.br/40-cabos-jumper-20cm-macho-x-femea/up/MLBU1715735778?pdp_filters=item_id:MLB1735287970" TargetMode="External"/><Relationship Id="rId12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17" Type="http://schemas.openxmlformats.org/officeDocument/2006/relationships/hyperlink" Target="https://www.arducore.com.br/protoboard-400-pontos?utm_source=Site&amp;utm_medium=GoogleMerchant&amp;utm_campaign=GoogleMerchant&amp;gad_source=1&amp;gad_campaignid=20396558769&amp;gbraid=0AAAAACrKHfcYEUbYjtevk70BJu8ygkO1f&amp;gclid=CjwKCAjw_-3GBhAYEiwAjh9fUGK_ZL-MFlQln8N10mz_cEDlckz-6XZJhR3Fhe-99BKkQmuG0TokuBoCPxIQAvD_BwE" TargetMode="External"/><Relationship Id="rId33" Type="http://schemas.openxmlformats.org/officeDocument/2006/relationships/hyperlink" Target="http://www.google.com/" TargetMode="External"/><Relationship Id="rId38" Type="http://schemas.openxmlformats.org/officeDocument/2006/relationships/hyperlink" Target="https://produto.mercadolivre.com.br/MLB-3778972826-filtro-supressor-ruido-f-sr-vca-24-240vca-2-pecas-_JM?matt_tool=44747869&amp;matt_internal_campaign_id=&amp;matt_word=&amp;matt_source=google&amp;matt_campaign_id=22603531439&amp;matt_ad_group_id=183641039649&amp;matt_match_type=&amp;matt_network=g&amp;matt_device=c&amp;matt_creative=758138322197&amp;matt_keyword=&amp;matt_ad_position=&amp;matt_ad_type=pla&amp;matt_merchant_id=109654657&amp;matt_product_id=MLB3778972826&amp;matt_product_partition_id=2424646252682&amp;matt_target_id=aud-1967156880386:pla-2424646252682&amp;cq_src=google_ads&amp;cq_cmp=22603531439&amp;cq_net=g&amp;cq_plt=gp&amp;cq_med=pla&amp;gad_source=4&amp;gad_campaignid=22603531439&amp;gbraid=0AAAAAD93qcA9J2dsGRrpGH50y6f4iggN9&amp;gclid=CjwKCAjw89jGBhB0EiwA2o1On1e57X71dNlgWpGWfClj4lKSmSKXjxvDkI_JyCNoq1XFtEglDFXKRxoCp30QAvD_BwE" TargetMode="External"/><Relationship Id="rId59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103" Type="http://schemas.openxmlformats.org/officeDocument/2006/relationships/hyperlink" Target="https://www.mercadolivre.com.br/kit-10-conector-db9-macho-9-pinos-com-10-capas-rs232-serial/up/MLBU1963221265?pdp_filters=item_id:MLB1751981398" TargetMode="External"/><Relationship Id="rId108" Type="http://schemas.openxmlformats.org/officeDocument/2006/relationships/hyperlink" Target="https://www.breletronica.com.br/sensor-de-temperatura-ds18b20-a-prova-dagua?utm_source=Site&amp;utm_medium=GoogleShopping&amp;utm_campaign=IntegracaoGoogle&amp;gad_source=4&amp;gad_campaignid=20944641502&amp;gbraid=0AAAAAquWLeEv-lV9ZuZWGB4K8SY0q32vB&amp;gclid=CjwKCAjw_-3GBhAYEiwAjh9fUICfKKv5TGnbuvzFn0r3OpSXMQsogawFW7zKUkIEhdOWjbYjAaxzqRoCSKgQAvD_BwE" TargetMode="External"/><Relationship Id="rId54" Type="http://schemas.openxmlformats.org/officeDocument/2006/relationships/hyperlink" Target="https://www.ribeiro.ind.br/botao-imp-vd-monob-1na-1nf-la39j-11bg?srsltid=AfmBOorobz8F03pXpeNSBcO_pQ6A3zvy3doy7C7Tl2j_1MbpEYyh_LhpRD8" TargetMode="External"/><Relationship Id="rId70" Type="http://schemas.openxmlformats.org/officeDocument/2006/relationships/hyperlink" Target="https://www.mercadolivre.com.br/conversor-sintechi-rs232-rs485-1200m-interface-serial-stm485/up/MLBU1976037776" TargetMode="External"/><Relationship Id="rId75" Type="http://schemas.openxmlformats.org/officeDocument/2006/relationships/hyperlink" Target="https://www.casadarobotica.com/fontes-conversores/fontes/fontes-chaveadas/fonte-dc-chaveada-5v-1a-plug-p4-bivolt?parceiro=3259&amp;srsltid=AfmBOoqkkpW-xHvRl5Exi4Wsp5AwEZLQTEt2uBlEW9JoV0bLxQwt0xcDXBM" TargetMode="External"/><Relationship Id="rId91" Type="http://schemas.openxmlformats.org/officeDocument/2006/relationships/hyperlink" Target="https://www.mercadolivre.com.br/modulo-lora-915mhz-100mw--lora-1276-v20/up/MLBU1962047493" TargetMode="External"/><Relationship Id="rId96" Type="http://schemas.openxmlformats.org/officeDocument/2006/relationships/hyperlink" Target="https://www.mercadolivre.com.br/sensor-de-temperatura-e-umidade-modbusrtu-rs485-xymd02/up/MLBU794459011?pdp_filters=item_id:MLB2724128337" TargetMode="External"/><Relationship Id="rId1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6" Type="http://schemas.openxmlformats.org/officeDocument/2006/relationships/hyperlink" Target="http://www.google.com/" TargetMode="External"/><Relationship Id="rId15" Type="http://schemas.openxmlformats.org/officeDocument/2006/relationships/hyperlink" Target="https://www.mercadolivre.com.br/cabo-instrumentacao-2x250mm-50m-blindado-50-metros/up/MLBU2718029309?pdp_filters=item_id:MLB5167929988" TargetMode="External"/><Relationship Id="rId23" Type="http://schemas.openxmlformats.org/officeDocument/2006/relationships/hyperlink" Target="https://www.casadoresistor.com.br/resistor-filme-carbono-carvao-cr25-1-4w-5-120o?gad_source=4&amp;gad_campaignid=22313635597&amp;gbraid=0AAAAACPTU44uA8i18zbVQqnxe3I3fTuzf&amp;gclid=CjwKCAjw_-3GBhAYEiwAjh9fUBIWWheiIzMLWv6FIW7-y-9hmECpdWa78jW0thm5cEdipH1FmwcDohoCH0sQAvD_BwE" TargetMode="External"/><Relationship Id="rId28" Type="http://schemas.openxmlformats.org/officeDocument/2006/relationships/hyperlink" Target="https://shopee.com.br/product/350953204/6480768779?gads_t_sig=VTJGc2RHVmtYMTlxTFVSVVRrdENkWVp3RFo3Mkw5czd4Z0hzdEF1WVFibUY4L082WE95c0hkZ1U2ekJlazFpVkRqR0Rpb3E1VnNDOXE1S1BGNnBJVzBUd3NMNnNlTDI3OWJvM09rOHh1dEtVRjN0MnNUS2dxY2RIcFYxOHpQd25zK2tjelR3NUdiUlVrVmJUeGcwcEpBPT0&amp;gad_source=1&amp;gad_campaignid=20824904870&amp;gbraid=0AAAAACoEtRlm00xqZHOr9Y5TVjgiiLER7&amp;gclid=CjwKCAjw89jGBhB0EiwA2o1On_Eaeq2lMRVD-YjnJmBfxm3FeYmB8FBbOIJ67cFaUYrybA5OLMisRBoCxK0QAvD_BwE" TargetMode="External"/><Relationship Id="rId36" Type="http://schemas.openxmlformats.org/officeDocument/2006/relationships/hyperlink" Target="https://www.mercadolivre.com.br/filtro-supressor-de-ruido-f-sr-24-240vca/up/MLBU2844838540?pdp_filters=item_id:MLB3914287457" TargetMode="External"/><Relationship Id="rId49" Type="http://schemas.openxmlformats.org/officeDocument/2006/relationships/hyperlink" Target="https://www.solucaocabos.com.br/abracadeira-nylon-t18r-100-x-2-5-mm-hellermann-100uni/p?idsku=12000&amp;gad_source=1&amp;gad_campaignid=19832634360&amp;gbraid=0AAAAAolx81FQSzCFtYWi_ujl1z2vHnH6L&amp;gclid=Cj0KCQjw267GBhCSARIsAOjVJ4F73vlwX6dSYlAM3sQsged_-OOM7KiSxdLtORjAnTHCqLA-ZZiMpTEaAmhGEALw_wcB" TargetMode="External"/><Relationship Id="rId57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106" Type="http://schemas.openxmlformats.org/officeDocument/2006/relationships/hyperlink" Target="http://www.pontodaeletronica.com.br/sensor-de-corrente-n-o-invasivo-100a-sct-013-arduino-pic-gng.html?gad_source=4&amp;gad_campaignid=19959787193&amp;gbraid=0AAAAAoWdpe28_Mr5NvFKLQbfNAKncVVL5&amp;gclid=CjwKCAjw_-3GBhAYEiwAjh9fUGSjM8vdxm9scjxha-YH3KWX9srn09eWTNmPNH3BgkT-vW43GFh0hBoCe90QAvD_BwE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https://www.santil.com.br/cabo-coaxial-75-ohms-rg-6-95-branco-para-net-vendido-por-metro-megatron/p?gad_source=1&amp;gad_campaignid=20630900380&amp;gbraid=0AAAAAD7srsauPq1ImyUhMz_kKDmzn5VjJ&amp;gclid=Cj0KCQjw267GBhCSARIsAOjVJ4G2WJztnIaOdS8YQlygdbiQfgNNjQ2Y854swexZoHsfVdPwndUK28YaAmnqEALw_wcB" TargetMode="External"/><Relationship Id="rId31" Type="http://schemas.openxmlformats.org/officeDocument/2006/relationships/hyperlink" Target="http://www.google.com/" TargetMode="External"/><Relationship Id="rId44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52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60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65" Type="http://schemas.openxmlformats.org/officeDocument/2006/relationships/hyperlink" Target="https://www.mercadolivre.com.br/caixa-de-passagem-eletrica-190x140x70-sobrepor-pvc-brbo4/up/MLBU3268495566" TargetMode="External"/><Relationship Id="rId73" Type="http://schemas.openxmlformats.org/officeDocument/2006/relationships/hyperlink" Target="https://www.antferramentas.com.br/fita-isolante-liquida-preta-50g-quimatic-bp1/p?idsku=2005834&amp;utm_source=google&amp;utm_medium=cpc&amp;gad_source=1&amp;gad_campaignid=17347451744&amp;gbraid=0AAAAADqQ7EXR4Fo_Fz34ngp3R2XHOp6Lf&amp;gclid=CjwKCAjw89jGBhB0EiwA2o1On99pfoPiSgVXmg8khLJisz4Z2P7silAUgkZOBGJlTbWQd-6zMfqzLhoCbVcQAvD_BwE" TargetMode="External"/><Relationship Id="rId78" Type="http://schemas.openxmlformats.org/officeDocument/2006/relationships/hyperlink" Target="https://www.kabum.com.br/produto/570713/fonte-de-alimentacao-24v-3a-p4-fonte-24v-3a-bivolt-110-240v?srsltid=AfmBOooIETMPp6lzGPwjSCDLl82HzU66NValEewqQqnoz8aJL6rJJnux7Oo" TargetMode="External"/><Relationship Id="rId81" Type="http://schemas.openxmlformats.org/officeDocument/2006/relationships/hyperlink" Target="https://www.smartcomponentes.com/produto/kit-jumper-femea-femea-20cm-10-pecas.html?utm_source=Site&amp;utm_medium=GoogleMerchant&amp;utm_campaign=GoogleMerchant&amp;gad_source=4&amp;gad_campaignid=20016103399&amp;gbraid=0AAAAApKVtk9f7aL3rbn13z2YD8hiQSTvn&amp;gclid=Cj0KCQjw3OjGBhDYARIsADd-uX479is5qlvGvmVX9q0p3kZD-RCTvzinksHTTaeGhphqoA56iUgYIPcaAs5YEALw_wcB" TargetMode="External"/><Relationship Id="rId86" Type="http://schemas.openxmlformats.org/officeDocument/2006/relationships/hyperlink" Target="https://www.arducore.com.br/kit-jumpers-macho-femea-x40-unidades-20cm?utm_source=Site&amp;utm_medium=GoogleMerchant&amp;utm_campaign=GoogleMerchant&amp;gad_source=4&amp;gad_campaignid=20396558769&amp;gbraid=0AAAAACrKHfeIk9Y3LbmfhbnWwKtZLFYG6&amp;gclid=Cj0KCQjw3OjGBhDYARIsADd-uX7OlcVYsbvCZQCtbKnBB4PsG3PLUloBtjztal8QYY9Adkxzd_7WG2waAt9dEALw_wcB" TargetMode="External"/><Relationship Id="rId94" Type="http://schemas.openxmlformats.org/officeDocument/2006/relationships/hyperlink" Target="https://www.lebiscuit.com.br/transmissor-de-temperatura-e-umidade-rs485-modbus-tru-2017057090/p?idsku=879531&amp;srsltid=AfmBOoqkcEEECYzSSBkGO5Gkg2N2r-ISjyofv67v4opNP3a5GDfdCQonM0k" TargetMode="External"/><Relationship Id="rId99" Type="http://schemas.openxmlformats.org/officeDocument/2006/relationships/hyperlink" Target="https://curtocircuito.com.br/placa-de-circuito-impresso-ilhada-de-fibra-de-vidro-7x9-cm.html?srsltid=AfmBOooxdTK_yuOHzQSJehJxZEqec5fOyifG4yS-8KmhfqWfGDW0U-EUqWc" TargetMode="External"/><Relationship Id="rId101" Type="http://schemas.openxmlformats.org/officeDocument/2006/relationships/hyperlink" Target="https://www.smartcomponentes.com/produto/conector-db9-macho-rs232-serial-capa-curta-cinza-10-pecas?utm_source=Site&amp;utm_medium=GoogleMerchant&amp;utm_campaign=GoogleMerchant&amp;gad_source=4&amp;gad_campaignid=20016103399&amp;gbraid=0AAAAApKVtk8oZ86mjLgBJH0dfXaNfa5kU&amp;gclid=CjwKCAjw_-3GBhAYEiwAjh9fUMX3fS1JSPlqRiu7Zfzg3t2dZNkAHSl0ze0O_G-MEu8X4AIx6YGpmBoCMnkQAvD_BwE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https://www.mercadolivre.com.br/cabo-coaxial-rg6-75ohm-95-malha-megatron-rl-100mts/p/MLB28082626?pdp_filters=item_id%3AMLB5472742842&amp;from=gshop&amp;matt_tool=31485049&amp;matt_internal_campaign_id=&amp;matt_word=&amp;matt_source=google&amp;matt_campaign_id=22090354244&amp;matt_ad_group_id=173090555756&amp;matt_match_type=&amp;matt_network=g&amp;matt_device=c&amp;matt_creative=727882729101&amp;matt_keyword=&amp;matt_ad_position=&amp;matt_ad_type=pla&amp;matt_merchant_id=735098660&amp;matt_product_id=MLB28082626-product&amp;matt_product_partition_id=2392713579061&amp;matt_target_id=aud-1967156880386:pla-2392713579061&amp;cq_src=google_ads&amp;cq_cmp=22090354244&amp;cq_net=g&amp;cq_plt=gp&amp;cq_med=pla&amp;gad_source=1&amp;gad_campaignid=22090354244&amp;gbraid=0AAAAAD93qcDTmdYy4CT-H3Dy0rNT37BAT&amp;gclid=Cj0KCQjw267GBhCSARIsAOjVJ4GwPUzwciVQ1Eg1Ts1yHMraD7S--VUyUEQF8-l7P05OrNZPbaqAUP8aAn8PEALw_wcB" TargetMode="External"/><Relationship Id="rId13" Type="http://schemas.openxmlformats.org/officeDocument/2006/relationships/hyperlink" Target="https://www.mercadolivre.com.br/fio-jumper-2x050mm--rolo-com-500-metros--brancopreto/up/MLBU3386299283?pdp_filters=item_id:MLB5649147088" TargetMode="External"/><Relationship Id="rId18" Type="http://schemas.openxmlformats.org/officeDocument/2006/relationships/hyperlink" Target="https://www.mercadolivre.com.br/protoboard-400-pontos/up/MLBU1754404708?pdp_filters=item_id:MLB811241019" TargetMode="External"/><Relationship Id="rId39" Type="http://schemas.openxmlformats.org/officeDocument/2006/relationships/hyperlink" Target="https://www.magazineluiza.com.br/estanho-fio-1mm-63x37-tubinho-25g-7438633715-vonder/p/cb67caf721/in/pepc/?seller_id=ultramaquinas&amp;srsltid=AfmBOop3uMZztqZPjAn3aquIvd2jNZxcWAvI6LTFUCY05HbbJwSGQQN6aEg" TargetMode="External"/><Relationship Id="rId109" Type="http://schemas.openxmlformats.org/officeDocument/2006/relationships/hyperlink" Target="https://www.arducore.com.br/sensor-de-temperatura-digital-a-prova-dagua-ds18b20?utm_source=Site&amp;utm_medium=GoogleMerchant&amp;utm_campaign=GoogleMerchant&amp;gad_source=4&amp;gad_campaignid=20396558769&amp;gbraid=0AAAAACrKHffprkTc3104msS7X-svt3p8M&amp;gclid=CjwKCAjw_-3GBhAYEiwAjh9fUC8mDceSQpOyNb8hiPVYikncPCogVLjxhcy0MuMmOkKU__tM1Bfd5hoCy2wQAvD_BwE" TargetMode="External"/><Relationship Id="rId34" Type="http://schemas.openxmlformats.org/officeDocument/2006/relationships/hyperlink" Target="https://www.mamuteeletronica.com.br/espacador-cilindrico-em-poliacetal-branco-femea-x-femea-rosca-m3-6x3x10mm-26689" TargetMode="External"/><Relationship Id="rId50" Type="http://schemas.openxmlformats.org/officeDocument/2006/relationships/hyperlink" Target="https://www.kalunga.com.br/prod/abracadeira-de-nylon-2-5x100mm-preto-t18r-hellermanntyton-pt-100-un/346771?cq_src=google_ads&amp;cq_cmp=1505005089&amp;cq_con=60825317747&amp;cq_term=&amp;cq_med=&amp;cq_plac=&amp;cq_net=g&amp;cq_pos=&amp;cq_plt=gp&amp;pcID=1801&amp;gad_source=1&amp;gad_campaignid=1505005089&amp;gbraid=0AAAAADj1B66GSVlaR6QFR3EelqiUQhRWv&amp;gclid=Cj0KCQjw267GBhCSARIsAOjVJ4Gn-A2jEgoQtvge7kFDKIsgdwNJqJy3SiSPgwOzNeFWnGwZokz4D7oaAi48EALw_wcB" TargetMode="External"/><Relationship Id="rId55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76" Type="http://schemas.openxmlformats.org/officeDocument/2006/relationships/hyperlink" Target="https://www.amazon.com.br/Fonte-Chaveada-5VDC-FCTP5001-Hayonik/dp/B0754FTHF7?source=ps-sl-shoppingads-lpcontext&amp;ref_=fplfs&amp;psc=1&amp;smid=A3V6ORYCY953OE" TargetMode="External"/><Relationship Id="rId97" Type="http://schemas.openxmlformats.org/officeDocument/2006/relationships/hyperlink" Target="https://www.crescerengenharia.com/product-page/cpb32h" TargetMode="External"/><Relationship Id="rId104" Type="http://schemas.openxmlformats.org/officeDocument/2006/relationships/hyperlink" Target="https://www.proesi.com.br/sct-013-sensor-de-corrente-n-o-invasivo-100a?utm_source=google-ads&amp;utm_source=%5bV4%5d-%5bVIN%C3%8DCIUS%5d-%5bVENDAS%5d-%5bPMAX%5d-%5bROAS-DESEJADO%5d&amp;utm_content=%5bP2%5d-%5bFRIO%5d-%5bTERMOS-RELACIONADOS%5d&amp;gad_source=4&amp;gad_campaignid=17656097982&amp;gbraid=0AAAAADP44mC5XFXXp00VCsDgMPYAwofg7&amp;gclid=CjwKCAjw_-3GBhAYEiwAjh9fUF77UY3Hv7kwqRxk6RsqiNVmlkpF_-4fLrptzU4h6wdShT5ZwWmFYhoCxWcQAvD_BwE" TargetMode="External"/><Relationship Id="rId7" Type="http://schemas.openxmlformats.org/officeDocument/2006/relationships/hyperlink" Target="https://loja.conduscamp.com.br/produto/cabo-instrumentacaosinal-1x2x250-mm-blindagem-total-dreno-preto/5415419" TargetMode="External"/><Relationship Id="rId71" Type="http://schemas.openxmlformats.org/officeDocument/2006/relationships/hyperlink" Target="https://shopee.com.br/product/290622315/4249885344?gads_t_sig=VTJGc2RHVmtYMTlxTFVSVVRrdENkWVp3RFo3Mkw5czd4Z0hzdEF1WVFibmV0bk5ZcDFsSEl1WEZQdldVd2wydEhCT0FRZndGTzRnU2FKdy82a09Za3kwVXlCek8rcXQ5bEFXemVtUnJ0K1JaWDExZlA5OURNbnpGRU00dSs2OUZLVWdodEdhd3FMU09RQnF2ekJ1d2NnPT0" TargetMode="External"/><Relationship Id="rId92" Type="http://schemas.openxmlformats.org/officeDocument/2006/relationships/hyperlink" Target="https://www.mercadolivre.com.br/modulo-lora-915mhz-sx1276-rfm95w/p/MLB50888168" TargetMode="External"/><Relationship Id="rId2" Type="http://schemas.openxmlformats.org/officeDocument/2006/relationships/hyperlink" Target="http://www.google.com/" TargetMode="External"/><Relationship Id="rId29" Type="http://schemas.openxmlformats.org/officeDocument/2006/relationships/hyperlink" Target="http://www.google.com/" TargetMode="External"/><Relationship Id="rId24" Type="http://schemas.openxmlformats.org/officeDocument/2006/relationships/hyperlink" Target="https://www.eletrogate.com/resistor-120r-1-4w-10-unidades?utm_source=Site&amp;utm_medium=GoogleMerchant&amp;utm_campaign=GoogleMerchant&amp;gad_source=4&amp;gad_campaignid=20223015315&amp;gbraid=0AAAAADqxjs9FhwnDpt4CTcBwG4OhMRu6y&amp;gclid=CjwKCAjw_-3GBhAYEiwAjh9fUK2ScUcboSD1G6b59uYaSbg6GPQHima9mQq0j8VjPyG7QYOCIWmo8BoCUKwQAvD_BwE" TargetMode="External"/><Relationship Id="rId40" Type="http://schemas.openxmlformats.org/officeDocument/2006/relationships/hyperlink" Target="https://www.magazineluiza.com.br/tubinho-de-solda-estanho-63x37-10mm-azul-22g-fluxo-ra-cobix/p/eg1gf6hah9/in/pepc/?seller_id=swellmark&amp;srsltid=AfmBOoqWppamx_78Nwtsnx63d_wCvTRej80TI5nixYhghcIHYirsUHgCy3k" TargetMode="External"/><Relationship Id="rId45" Type="http://schemas.openxmlformats.org/officeDocument/2006/relationships/hyperlink" Target="https://www.mercadolivre.com.br/fio-jumper-2x050mm--rolo-com-500-metros--brancopreto/up/MLBU3386299283?pdp_filters=item_id:MLB5649147088" TargetMode="External"/><Relationship Id="rId66" Type="http://schemas.openxmlformats.org/officeDocument/2006/relationships/hyperlink" Target="https://www.usinainfo.com.br/conversores-de-sinal/conversor-usb-para-rs485-ch340-com-saida-5v-zk-u485-8333.html?srsltid=AfmBOoqcdvJdsWyULW1BU1aakO7keZFkR0UFre_pm6TCXyHXa2x7_xtF" TargetMode="External"/><Relationship Id="rId87" Type="http://schemas.openxmlformats.org/officeDocument/2006/relationships/hyperlink" Target="https://www.eletrogate.com/jumpers-macho-macho-65-unidades?utm_source=Site&amp;utm_medium=GoogleMerchant&amp;utm_campaign=GoogleMerchant&amp;srsltid=AfmBOoq4oUTqsGfWflmfNjU2HscW3hi3dK3r-k2JnRx36mYdfiY-Kv1nFv4" TargetMode="External"/><Relationship Id="rId110" Type="http://schemas.openxmlformats.org/officeDocument/2006/relationships/hyperlink" Target="https://www.mercadolivre.com.br/sensor-de-temperatura-ds18b20-a-prova-dagua-1-metro/up/MLBU1401994979?pdp_filters=item_id:MLB1462984049" TargetMode="External"/><Relationship Id="rId61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2" Type="http://schemas.openxmlformats.org/officeDocument/2006/relationships/hyperlink" Target="https://www.arducore.com.br/jumpers-femea-femea-x40-unidades-20cm?utm_source=Site&amp;utm_medium=GoogleMerchant&amp;utm_campaign=GoogleMerchant&amp;gad_source=4&amp;gad_campaignid=20396558769&amp;gbraid=0AAAAACrKHfeIk9Y3LbmfhbnWwKtZLFYG6&amp;gclid=Cj0KCQjw3OjGBhDYARIsADd-uX7iMEr_bB_-_Z5syCKBh6m9SeFyWBlKdHOmR6J8_56HD-Ks6IoFJu4aAlrBEALw_wcB" TargetMode="External"/><Relationship Id="rId19" Type="http://schemas.openxmlformats.org/officeDocument/2006/relationships/hyperlink" Target="https://www.baudaeletronica.com.br/produto/resistor-120r-5-14w.html?utm_source=Site&amp;utm_medium=GoogleMerchant&amp;utm_campaign=GoogleMerchant&amp;gad_source=4&amp;gad_campaignid=20292490697&amp;gbraid=0AAAAADonfB1aIj-umI0mhi8qVITJBlClA&amp;gclid=CjwKCAjw_-3GBhAYEiwAjh9fUGryCpSbw7b2Lx3VMDmHIulRJkN43bdZ-QNw9diWRpgkqm290UyBhxoC4YUQAvD_BwE" TargetMode="External"/><Relationship Id="rId14" Type="http://schemas.openxmlformats.org/officeDocument/2006/relationships/hyperlink" Target="https://www.plenobras.com.br/646a59a3d496504d21ddf935/cabo-cobre-isolado-pvce-105g-300v-v-1-par-250-mm2-instrumentacao-blindado-preto-nbr-10300-cip105g300v2x250m?srsltid=AfmBOooGMJM9N321gf2IG1sRjVnT-4ml6KUTT5L0sAW_gzZcEO3Fg3FHE7k" TargetMode="External"/><Relationship Id="rId30" Type="http://schemas.openxmlformats.org/officeDocument/2006/relationships/hyperlink" Target="https://www.tecnotronics.com.br/display-lcd-20x4-alfanumerico-interface-com-serial-i2c.html?gad_source=1&amp;gad_campaignid=23007836530&amp;gbraid=0AAAAADMyuI3QNAu6k5KahSkxphVNoNo9a&amp;gclid=CjwKCAjw89jGBhB0EiwA2o1OnwYyBlcR0QqNjyswcj0jIjMykdWoo3wUIjCoxEZJc8qXmCr0bJQzDhoCNPYQAvD_BwE" TargetMode="External"/><Relationship Id="rId35" Type="http://schemas.openxmlformats.org/officeDocument/2006/relationships/hyperlink" Target="https://www.mercadolivre.com.br/fio-estanho-para-soldagem-kit-3-1mm-25g-solda-eletronicos/up/MLBU2939827735?pdp_filters=item_id:MLB5250570834" TargetMode="External"/><Relationship Id="rId56" Type="http://schemas.openxmlformats.org/officeDocument/2006/relationships/hyperlink" Target="https://www.mercadolivre.com.br/botao-pulsador-faceado-1na-1nf-la39j-amarelo-siemens/up/MLBU1403438108?pdp_filters=item_id:MLB1285956577" TargetMode="External"/><Relationship Id="rId77" Type="http://schemas.openxmlformats.org/officeDocument/2006/relationships/hyperlink" Target="https://shopee.com.br/product/351550302/8062318299?gads_t_sig=VTJGc2RHVmtYMTlxTFVSVVRrdENkWVp3RFo3Mkw5czd4Z0hzdEF1WVFibForaUY5RHRKeWErWWlmd3EzVVY2dlhSNU5IZ1YzcVdCQ0RYdTZCYzNNOUNsaS9hYkNPNDUzQU05TFJPU1hiQ1d1UmRTOU5Ud3FnUUNINUwyK0RRdVhkeEdnd25ORWlsalZMUzB6VUFHUUlRPT0" TargetMode="External"/><Relationship Id="rId100" Type="http://schemas.openxmlformats.org/officeDocument/2006/relationships/hyperlink" Target="https://shopee.com.br/product/595700623/22793883974?gads_t_sig=VTJGc2RHVmtYMTlxTFVSVVRrdENkVHQ3ZkZSUTMrR3pBWmZZNzdrcnRBMmhXdDB3R1QvOUhMZlFnd2QwTVlkMU0rYjZocUZhNnord1NId1d6M1VLY0t2MmNTdEplVmJVdWZIZzN4RmdRQ2J3bHpFL3E0bU9abEZhaVF4Z24wVnl1TjcyRG1vU2Q2TnM4Q2t3UGhBYm5RPT0" TargetMode="External"/><Relationship Id="rId105" Type="http://schemas.openxmlformats.org/officeDocument/2006/relationships/hyperlink" Target="https://www.casadoresistor.com.br/sensor-de-corrente-n-o-invasivo-sct013-100a?gad_source=4&amp;gad_campaignid=22313635597&amp;gbraid=0AAAAACPTU44uA8i18zbVQqnxe3I3fTuzf&amp;gclid=CjwKCAjw_-3GBhAYEiwAjh9fUMyti4n9t0BcaTiUdfHtZGColWAa7K-oLzCoflZBd8Z3b6Fx0ciddRoCIxIQAvD_BwE" TargetMode="External"/><Relationship Id="rId8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51" Type="http://schemas.openxmlformats.org/officeDocument/2006/relationships/hyperlink" Target="https://www.ribeiro.ind.br/botao-imp-vd-monob-1na-1nf-la39j-11bg?srsltid=AfmBOorobz8F03pXpeNSBcO_pQ6A3zvy3doy7C7Tl2j_1MbpEYyh_LhpRD8" TargetMode="External"/><Relationship Id="rId72" Type="http://schemas.openxmlformats.org/officeDocument/2006/relationships/hyperlink" Target="https://www.santil.com.br/fita-isolante-liquida-50g/p?gad_source=1&amp;gad_campaignid=20630900380&amp;gbraid=0AAAAAD7srsa4XkenPGV2801hhxuCeqenK&amp;gclid=CjwKCAjw89jGBhB0EiwA2o1On9Ju0xfC4yBcx4dgVXwyPp6Qb0dUVRDY816G2aym7dLoYT81kjoQIhoCJBgQAvD_BwE" TargetMode="External"/><Relationship Id="rId93" Type="http://schemas.openxmlformats.org/officeDocument/2006/relationships/hyperlink" Target="https://shopee.com.br/product/277189279/11438836069?gads_t_sig=VTJGc2RHVmtYMTlxTFVSVVRrdENkVHQ3ZkZSUTMrR3pBWmZZNzdrcnRBMVQ1NkIwekJJQ29mV1pmcm4wdHVCOGo3YVplZEdjcU9kemlYWnBmVGFYTk5LK21BMjMva0lRZHpxeFYrRzM2ZTFFVnBQU3ljbWRjVmJCVS9SSEJYb0ltcCtFaTRLV0xLSXJ4NkVtbHk2SGR3PT0" TargetMode="External"/><Relationship Id="rId98" Type="http://schemas.openxmlformats.org/officeDocument/2006/relationships/hyperlink" Target="https://www.cinestec.com.br/placa-padrao-ilha-desligada-07-x-09cm?srsltid=AfmBOorzMj0tKRvj5WgUr16i8pSu-3JthWYmXprTexg6K4AjPC6NnYrspVk" TargetMode="External"/><Relationship Id="rId3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5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46" Type="http://schemas.openxmlformats.org/officeDocument/2006/relationships/hyperlink" Target="https://www.mercadolivre.com.br/knob-baquelite-padrao-boss-com-parafuso-195mm-mfa01/up/MLBU3260074515?pdp_filters=item_id:MLB5463165830" TargetMode="External"/><Relationship Id="rId67" Type="http://schemas.openxmlformats.org/officeDocument/2006/relationships/hyperlink" Target="https://www.mercadolivre.com.br/conversor-usbrs485-modulo-de-comunicacao--plc/up/MLBU1431755932?pdp_filters=item_id:MLB2815747275" TargetMode="External"/><Relationship Id="rId20" Type="http://schemas.openxmlformats.org/officeDocument/2006/relationships/hyperlink" Target="https://www.eletrogate.com/resistor-4k7-1-4w-10-unidades?utm_source=Site&amp;utm_medium=GoogleMerchant&amp;utm_campaign=GoogleMerchant&amp;gad_source=4&amp;gad_campaignid=20223015315&amp;gbraid=0AAAAADqxjs9FhwnDpt4CTcBwG4OhMRu6y&amp;gclid=CjwKCAjw_-3GBhAYEiwAjh9fUP0z-rE4_6WdOyBOBGDuopqxYxJKGKEeh5TjdvFWFXnu2WQIwWNjfxoCN28QAvD_BwE" TargetMode="External"/><Relationship Id="rId41" Type="http://schemas.openxmlformats.org/officeDocument/2006/relationships/hyperlink" Target="https://www.casadoresistor.com.br/espacador-nylon-femea-femea-m3x10mm-branco" TargetMode="External"/><Relationship Id="rId62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3" Type="http://schemas.openxmlformats.org/officeDocument/2006/relationships/hyperlink" Target="https://produto.mercadolivre.com.br/MLB-4598539690-kit-cabo-jumper-fmea-x-fmea-20cm-40-und-arduino-protoboard-_JM?matt_tool=18956390&amp;utm_source=google_shopping&amp;utm_medium=organic" TargetMode="External"/><Relationship Id="rId88" Type="http://schemas.openxmlformats.org/officeDocument/2006/relationships/hyperlink" Target="https://www.mercadolivre.com.br/kit-jumper-x40-macho-x-macho-premium-20cm/p/MLB37482649?matt_tool=18956390&amp;utm_source=google_shopping&amp;utm_medium=organic&amp;pdp_filters=item_id:MLB4818383854" TargetMode="External"/><Relationship Id="rId111" Type="http://schemas.openxmlformats.org/officeDocument/2006/relationships/hyperlink" Target="https://www.viewtech.ind.br/controlador-logico-programavel-weg-clp-clic02-24vcc-20vr?srsltid=AfmBOoqfElU95RNVcP307KN2DHUhX740OfzHmeerlpQZ82TW8nqZUpHGWo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1" Type="http://schemas.openxmlformats.org/officeDocument/2006/relationships/hyperlink" Target="https://www.baudaeletronica.com.br/produto/resistor-4k7-5-14w.html?utm_source=Site&amp;utm_medium=GoogleMerchant&amp;utm_campaign=GoogleMerchant&amp;gad_source=4&amp;gad_campaignid=20292490697&amp;gbraid=0AAAAADonfB1aIj-umI0mhi8qVITJBlClA&amp;gclid=CjwKCAjw_-3GBhAYEiwAjh9fUNLMHgmtcbSBrNcaayNUgcL17p6W8BadMg-09E0imRsapUcax-NbJxoCvH4QAvD_BwE" TargetMode="External"/><Relationship Id="rId42" Type="http://schemas.openxmlformats.org/officeDocument/2006/relationships/hyperlink" Target="https://www.mercadolivre.com.br/espacador-nylon-diametro-6-x-10mm-rosca-m3-pct-com-50-pecas/up/MLBU1961816765" TargetMode="External"/><Relationship Id="rId47" Type="http://schemas.openxmlformats.org/officeDocument/2006/relationships/hyperlink" Target="https://www.multcomercial.com.br/knob-rotativo-com-parafuso-preto-kp-02p-scott.html?srsltid=AfmBOopy33v5akd8tOd2axjqwRIxZllTCjHERJTW0UzdJM2XNHkF2t4nYOQ" TargetMode="External"/><Relationship Id="rId63" Type="http://schemas.openxmlformats.org/officeDocument/2006/relationships/hyperlink" Target="https://www.mercadolivre.com.br/caixa-de-passagem-hermetica-branca-190x140x70mm-ip66-brbox/p/MLB26380286" TargetMode="External"/><Relationship Id="rId68" Type="http://schemas.openxmlformats.org/officeDocument/2006/relationships/hyperlink" Target="https://shopee.com.br/product/375037417/20869209865?gads_t_sig=VTJGc2RHVmtYMTlxTFVSVVRrdENkVHQ3ZkZSUTMrR3pBWmZZNzdrcnRBM2J5bmo0RmhiSHNXMVA0NHpwcnZyL0lvblVlNmRiak1ISGhJb0lOYkpjN09LeENpNk5yYUwxR25kZnFIYmRWWTRvcGNPdDcxTVlqT1YvNVgxN2hpYUozMDY0cVNweUpMdXVVVDJkdGNXdjRnPT0&amp;gad_source=4&amp;gad_campaignid=20824904870&amp;gbraid=0AAAAACoEtRmbgQJtRaxUe4IeOmnUWuKWp&amp;gclid=CjwKCAjw89jGBhB0EiwA2o1On2nXdlgP3_0nOixytHDNJ1wcMFZoVGl8b9JV3LErCtA5KsYPgE49dhoCc84QAvD_BwE" TargetMode="External"/><Relationship Id="rId84" Type="http://schemas.openxmlformats.org/officeDocument/2006/relationships/hyperlink" Target="https://www.fornell.com.br/produtos/kit-de-cabos-jumper-macho-x-femea-20cm/?variant=111519234&amp;pf=mc&amp;srsltid=AfmBOoqxp5DrWwSiyUzQUbP3-Q6p-so0lxmR6-Dl1hSYs8up2RLPggduvpk" TargetMode="External"/><Relationship Id="rId89" Type="http://schemas.openxmlformats.org/officeDocument/2006/relationships/hyperlink" Target="https://www.arducore.com.br/jumpers-macho-macho-x40-unidades-20cm?utm_source=Site&amp;utm_medium=GoogleMerchant&amp;utm_campaign=GoogleMerchant&amp;gad_source=4&amp;gad_campaignid=20396558769&amp;gbraid=0AAAAACrKHfeIk9Y3LbmfhbnWwKtZLFYG6&amp;gclid=Cj0KCQjw3OjGBhDYARIsADd-uX7h1w0hfzwIMibIK7cUKtFbi7ohW-Ccb8vJuQsxr61D6sp93aZCqCkaAvbtEALw_wcB" TargetMode="External"/><Relationship Id="rId112" Type="http://schemas.openxmlformats.org/officeDocument/2006/relationships/hyperlink" Target="https://www.mercadolivre.com.br/controlador-logico-clic02-clw02-20vrd-3rd-24vcc-11268449/up/MLBU2886663265?pdp_filters=item_id:MLB5213852204" TargetMode="External"/><Relationship Id="rId16" Type="http://schemas.openxmlformats.org/officeDocument/2006/relationships/hyperlink" Target="https://www.smartcomponentes.com/produto/protoboard-400-pontos.html?utm_source=Site&amp;utm_medium=GoogleMerchant&amp;utm_campaign=GoogleMerchant&amp;gad_source=1&amp;gad_campaignid=20016103399&amp;gbraid=0AAAAApKVtk8FKTV5Isxw7okQYChW4r8_-&amp;gclid=CjwKCAjw_-3GBhAYEiwAjh9fUDhaIchprGuOCUPVS2e6Or9jnJ_sTux8zoDIYm8PjjpRm15AjDTaWhoC_hYQAvD_BwE" TargetMode="External"/><Relationship Id="rId107" Type="http://schemas.openxmlformats.org/officeDocument/2006/relationships/hyperlink" Target="https://www.usinainfo.com.br/sensor-de-nivel-arduino/sensor-de-nivel-submersivel-para-liquidos-rs485-sonda-inox-304-3m-com-cabo-de-5m-9120.html?gad_source=4&amp;gad_campaignid=17181939790&amp;gbraid=0AAAAAD4ryP_9o8pTrnCPa2EcpO0b88nYo&amp;gclid=CjwKCAjw_-3GBhAYEiwAjh9fULMHofjia-w_zj9chCeVx4CDGIqkIRPw19dqTjVLX_f2KXiSPjMAdRoC-lkQAvD_BwE" TargetMode="External"/><Relationship Id="rId11" Type="http://schemas.openxmlformats.org/officeDocument/2006/relationships/hyperlink" Target="https://www.jccabos.com.br/oi315c8mg-cabo-coaxial-rg6-malha-95-rolo-300-metros-megatron?gad_source=1&amp;gad_campaignid=20771949283&amp;gbraid=0AAAAADLaxzNtRva4CX2jkdgEdiJpCJGQ7&amp;gclid=Cj0KCQjw267GBhCSARIsAOjVJ4FOoCEDfvIcXJwO47wRo0Mwsu7Gdoh6YBwHbxZN9dmUfXlwBZ8mv1UaAoa1EALw_wcB" TargetMode="External"/><Relationship Id="rId32" Type="http://schemas.openxmlformats.org/officeDocument/2006/relationships/hyperlink" Target="https://curtocircuito.com.br/display-lcd-20x4-backlight-azul-i2c.html?utm_term=&amp;utm_campaign=&amp;utm_source=adwords&amp;utm_medium=ppc&amp;hsa_acc=7016354091&amp;hsa_cam=20564613353&amp;hsa_grp=152310099103&amp;hsa_ad=674376925417&amp;hsa_src=g&amp;hsa_tgt=pla-384382900750&amp;hsa_kw=&amp;hsa_mt=&amp;hsa_net=adwords&amp;hsa_ver=3&amp;gad_source=4&amp;gad_campaignid=20564613353&amp;gbraid=0AAAAADLsNZ0773jOHW9RbciWOM2ZubAdd&amp;gclid=CjwKCAjw89jGBhB0EiwA2o1On4SvFkAwVsYtEGuchzPW9rEkTt9iwEYn9038VCxyuI1GbLKEI3cmhxoCQN8QAvD_BwE" TargetMode="External"/><Relationship Id="rId37" Type="http://schemas.openxmlformats.org/officeDocument/2006/relationships/hyperlink" Target="https://www.barataodosul.com.br/filtro-supressor-de-ruido-f-sr-para-corrente-alternada-24-240vca-10154-sibratec?utm_source=google&amp;utm_medium=Shopping&amp;utm_campaign=filtro-supressor-de-ruido-f-sr-para-corrente-alternada-24-240vca-10154-sibratec&amp;inStock&amp;gad_source=4&amp;gad_campaignid=21294307890&amp;gbraid=0AAAAAp1t8UVDmu2VmASSlWz1mIoMPPeLC&amp;gclid=CjwKCAjw89jGBhB0EiwA2o1On-eytuXTznN8utDG2xIeLIPahaZZgQKCvUCUxaAk9fMmpgSEIBlztRoCwCMQAvD_BwE" TargetMode="External"/><Relationship Id="rId53" Type="http://schemas.openxmlformats.org/officeDocument/2006/relationships/hyperlink" Target="https://www.mercadolivre.com.br/botao-pulsador-faceado-1na-1nf-la39j-amarelo-siemens/up/MLBU1403438108?pdp_filters=item_id:MLB1285956577" TargetMode="External"/><Relationship Id="rId58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74" Type="http://schemas.openxmlformats.org/officeDocument/2006/relationships/hyperlink" Target="https://www.nikkeypar.com.br/fita-isolante-liquida-preta-50g-quimatic-tapmatic-p46719" TargetMode="External"/><Relationship Id="rId79" Type="http://schemas.openxmlformats.org/officeDocument/2006/relationships/hyperlink" Target="https://www.leroymerlin.com.br/fonte-de-alimentacao-24v-3a-p4-fonte-24v-3a-bivolt-110-240v_1571766897?srsltid=AfmBOopwC-Gk4_Jpyz70tcy5Wibqr-eJPaEidCV6QdEj3cT_eC3jCdDKR1A" TargetMode="External"/><Relationship Id="rId102" Type="http://schemas.openxmlformats.org/officeDocument/2006/relationships/hyperlink" Target="https://www.mercadolivre.com.br/kit-10-conector-db9-macho-9-pinos--10-capas-rs232-serial/up/MLBU2882293820?pdp_filters=item_id:MLB5207064260" TargetMode="External"/><Relationship Id="rId5" Type="http://schemas.openxmlformats.org/officeDocument/2006/relationships/hyperlink" Target="https://www.mercadolivre.com.br/cabo-shield-blindado-2-vias-2x1mm-para-sinal-100mts/up/MLBU1468616041" TargetMode="External"/><Relationship Id="rId90" Type="http://schemas.openxmlformats.org/officeDocument/2006/relationships/hyperlink" Target="https://www.crescerengenharia.com/product-page/modulo-io-4x4-12c" TargetMode="External"/><Relationship Id="rId95" Type="http://schemas.openxmlformats.org/officeDocument/2006/relationships/hyperlink" Target="https://www.smartcomponentes.com/sensor-transmissor-de-temperatura-e-umidade-rs485-serial-modbus-rtu-xy-md02?utm_source=Site&amp;utm_medium=GoogleShopping&amp;utm_campaign=IntegracaoGoogle&amp;srsltid=AfmBOooj0Iemfbrlm5Erivbr2nngUOjCreT6Y2xqbhSA8--St9JB2RWjR6E" TargetMode="External"/><Relationship Id="rId22" Type="http://schemas.openxmlformats.org/officeDocument/2006/relationships/hyperlink" Target="https://www.casadoresistor.com.br/resistor-filme-carbono-carvao-cr25-1-4w-5-4k7?gad_source=4&amp;gad_campaignid=22313635597&amp;gbraid=0AAAAACPTU44uA8i18zbVQqnxe3I3fTuzf&amp;gclid=CjwKCAjw_-3GBhAYEiwAjh9fUCjuFVCNGX1QurrB2_jlG8D4RXDYXb4ZnX_KjISi4E_Ufwi4ZhSChxoC-Z8QAvD_BwE" TargetMode="External"/><Relationship Id="rId27" Type="http://schemas.openxmlformats.org/officeDocument/2006/relationships/hyperlink" Target="https://www.mercadolivre.com.br/cabo-shield-blindado-2-vias-2x1mm-para-sinal-100mts/up/MLBU1468616041" TargetMode="External"/><Relationship Id="rId43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48" Type="http://schemas.openxmlformats.org/officeDocument/2006/relationships/hyperlink" Target="https://www.santil.com.br/abracadeira-nylon-t18r-100x250mm-pacote-100-preto-hellermann/p?gad_source=1&amp;gad_campaignid=20630900380&amp;gbraid=0AAAAAD7srsauPq1ImyUhMz_kKDmzn5VjJ&amp;gclid=Cj0KCQjw267GBhCSARIsAOjVJ4GXGepPo4u7kt8Pjad7pt5zVySzk4arBHoKt8CGHuP6_RHjYbSzhCYaAsSoEALw_wcB" TargetMode="External"/><Relationship Id="rId64" Type="http://schemas.openxmlformats.org/officeDocument/2006/relationships/hyperlink" Target="https://www.distribuidorahg.com.br/caixa-de-passagem-eletrica-190x140x70-sobrepor-pvc-brbo4?utm_source=Site&amp;utm_medium=GoogleMerchant&amp;utm_campaign=GoogleMerchant&amp;gad_source=1&amp;gad_campaignid=20789756799&amp;gbraid=0AAAAAqVJmSP3oZPSxlHaFnl7qorbH1fjs&amp;gclid=CjwKCAjw89jGBhB0EiwA2o1On9Vj3pGm9lgwP655Gpd59Efvze9yxoXI6QoBR42kp9devKEREjhPzxoCf7UQAvD_BwE" TargetMode="External"/><Relationship Id="rId69" Type="http://schemas.openxmlformats.org/officeDocument/2006/relationships/hyperlink" Target="https://www.usinainfo.com.br/conversores-de-sinal/conversor-rs232-para-rs485-sintechi-passivo-stm485-h-5182.html?srsltid=AfmBOooTAZpaxOOapSkCPDlIsM5iHxnHN9fdhyThCsRE7018qol8alze" TargetMode="External"/><Relationship Id="rId113" Type="http://schemas.openxmlformats.org/officeDocument/2006/relationships/hyperlink" Target="https://www.refercomercio.com.br/comandos-eletricos/reles/controlador-logico-programavel-weg-clp-clic02-24vcc-20vr?parceiro=5922&amp;srsltid=AfmBOop0xT7a1KEuh7rNT9ctz37owkZvUrRlnJtkh7P4WL_hSLNhSIa2Pk0" TargetMode="External"/><Relationship Id="rId80" Type="http://schemas.openxmlformats.org/officeDocument/2006/relationships/hyperlink" Target="https://produto.mercadolivre.com.br/MLB-3702259590-fonte-de-alimentaco-24v-3a-p4-fonte-24v-3a-bivolt-110-240v-_JM" TargetMode="External"/><Relationship Id="rId85" Type="http://schemas.openxmlformats.org/officeDocument/2006/relationships/hyperlink" Target="https://www.mercadolivre.com.br/40-cabos-jumper-20cm-macho-x-femea/up/MLBU1715735778?pdp_filters=item_id:MLB1735287970" TargetMode="External"/><Relationship Id="rId12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17" Type="http://schemas.openxmlformats.org/officeDocument/2006/relationships/hyperlink" Target="https://www.arducore.com.br/protoboard-400-pontos?utm_source=Site&amp;utm_medium=GoogleMerchant&amp;utm_campaign=GoogleMerchant&amp;gad_source=1&amp;gad_campaignid=20396558769&amp;gbraid=0AAAAACrKHfcYEUbYjtevk70BJu8ygkO1f&amp;gclid=CjwKCAjw_-3GBhAYEiwAjh9fUGK_ZL-MFlQln8N10mz_cEDlckz-6XZJhR3Fhe-99BKkQmuG0TokuBoCPxIQAvD_BwE" TargetMode="External"/><Relationship Id="rId33" Type="http://schemas.openxmlformats.org/officeDocument/2006/relationships/hyperlink" Target="http://www.google.com/" TargetMode="External"/><Relationship Id="rId38" Type="http://schemas.openxmlformats.org/officeDocument/2006/relationships/hyperlink" Target="https://produto.mercadolivre.com.br/MLB-3778972826-filtro-supressor-ruido-f-sr-vca-24-240vca-2-pecas-_JM?matt_tool=44747869&amp;matt_internal_campaign_id=&amp;matt_word=&amp;matt_source=google&amp;matt_campaign_id=22603531439&amp;matt_ad_group_id=183641039649&amp;matt_match_type=&amp;matt_network=g&amp;matt_device=c&amp;matt_creative=758138322197&amp;matt_keyword=&amp;matt_ad_position=&amp;matt_ad_type=pla&amp;matt_merchant_id=109654657&amp;matt_product_id=MLB3778972826&amp;matt_product_partition_id=2424646252682&amp;matt_target_id=aud-1967156880386:pla-2424646252682&amp;cq_src=google_ads&amp;cq_cmp=22603531439&amp;cq_net=g&amp;cq_plt=gp&amp;cq_med=pla&amp;gad_source=4&amp;gad_campaignid=22603531439&amp;gbraid=0AAAAAD93qcA9J2dsGRrpGH50y6f4iggN9&amp;gclid=CjwKCAjw89jGBhB0EiwA2o1On1e57X71dNlgWpGWfClj4lKSmSKXjxvDkI_JyCNoq1XFtEglDFXKRxoCp30QAvD_BwE" TargetMode="External"/><Relationship Id="rId59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103" Type="http://schemas.openxmlformats.org/officeDocument/2006/relationships/hyperlink" Target="https://www.mercadolivre.com.br/kit-10-conector-db9-macho-9-pinos-com-10-capas-rs232-serial/up/MLBU1963221265?pdp_filters=item_id:MLB1751981398" TargetMode="External"/><Relationship Id="rId108" Type="http://schemas.openxmlformats.org/officeDocument/2006/relationships/hyperlink" Target="https://www.breletronica.com.br/sensor-de-temperatura-ds18b20-a-prova-dagua?utm_source=Site&amp;utm_medium=GoogleShopping&amp;utm_campaign=IntegracaoGoogle&amp;gad_source=4&amp;gad_campaignid=20944641502&amp;gbraid=0AAAAAquWLeEv-lV9ZuZWGB4K8SY0q32vB&amp;gclid=CjwKCAjw_-3GBhAYEiwAjh9fUICfKKv5TGnbuvzFn0r3OpSXMQsogawFW7zKUkIEhdOWjbYjAaxzqRoCSKgQAvD_BwE" TargetMode="External"/><Relationship Id="rId54" Type="http://schemas.openxmlformats.org/officeDocument/2006/relationships/hyperlink" Target="https://www.ribeiro.ind.br/botao-imp-vd-monob-1na-1nf-la39j-11bg?srsltid=AfmBOorobz8F03pXpeNSBcO_pQ6A3zvy3doy7C7Tl2j_1MbpEYyh_LhpRD8" TargetMode="External"/><Relationship Id="rId70" Type="http://schemas.openxmlformats.org/officeDocument/2006/relationships/hyperlink" Target="https://www.mercadolivre.com.br/conversor-sintechi-rs232-rs485-1200m-interface-serial-stm485/up/MLBU1976037776" TargetMode="External"/><Relationship Id="rId75" Type="http://schemas.openxmlformats.org/officeDocument/2006/relationships/hyperlink" Target="https://www.casadarobotica.com/fontes-conversores/fontes/fontes-chaveadas/fonte-dc-chaveada-5v-1a-plug-p4-bivolt?parceiro=3259&amp;srsltid=AfmBOoqkkpW-xHvRl5Exi4Wsp5AwEZLQTEt2uBlEW9JoV0bLxQwt0xcDXBM" TargetMode="External"/><Relationship Id="rId91" Type="http://schemas.openxmlformats.org/officeDocument/2006/relationships/hyperlink" Target="https://www.mercadolivre.com.br/modulo-lora-915mhz-100mw--lora-1276-v20/up/MLBU1962047493" TargetMode="External"/><Relationship Id="rId96" Type="http://schemas.openxmlformats.org/officeDocument/2006/relationships/hyperlink" Target="https://www.mercadolivre.com.br/sensor-de-temperatura-e-umidade-modbusrtu-rs485-xymd02/up/MLBU794459011?pdp_filters=item_id:MLB2724128337" TargetMode="External"/><Relationship Id="rId1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6" Type="http://schemas.openxmlformats.org/officeDocument/2006/relationships/hyperlink" Target="http://www.google.com/" TargetMode="External"/><Relationship Id="rId15" Type="http://schemas.openxmlformats.org/officeDocument/2006/relationships/hyperlink" Target="https://www.mercadolivre.com.br/cabo-instrumentacao-2x250mm-50m-blindado-50-metros/up/MLBU2718029309?pdp_filters=item_id:MLB5167929988" TargetMode="External"/><Relationship Id="rId23" Type="http://schemas.openxmlformats.org/officeDocument/2006/relationships/hyperlink" Target="https://www.casadoresistor.com.br/resistor-filme-carbono-carvao-cr25-1-4w-5-120o?gad_source=4&amp;gad_campaignid=22313635597&amp;gbraid=0AAAAACPTU44uA8i18zbVQqnxe3I3fTuzf&amp;gclid=CjwKCAjw_-3GBhAYEiwAjh9fUBIWWheiIzMLWv6FIW7-y-9hmECpdWa78jW0thm5cEdipH1FmwcDohoCH0sQAvD_BwE" TargetMode="External"/><Relationship Id="rId28" Type="http://schemas.openxmlformats.org/officeDocument/2006/relationships/hyperlink" Target="https://shopee.com.br/product/350953204/6480768779?gads_t_sig=VTJGc2RHVmtYMTlxTFVSVVRrdENkWVp3RFo3Mkw5czd4Z0hzdEF1WVFibUY4L082WE95c0hkZ1U2ekJlazFpVkRqR0Rpb3E1VnNDOXE1S1BGNnBJVzBUd3NMNnNlTDI3OWJvM09rOHh1dEtVRjN0MnNUS2dxY2RIcFYxOHpQd25zK2tjelR3NUdiUlVrVmJUeGcwcEpBPT0&amp;gad_source=1&amp;gad_campaignid=20824904870&amp;gbraid=0AAAAACoEtRlm00xqZHOr9Y5TVjgiiLER7&amp;gclid=CjwKCAjw89jGBhB0EiwA2o1On_Eaeq2lMRVD-YjnJmBfxm3FeYmB8FBbOIJ67cFaUYrybA5OLMisRBoCxK0QAvD_BwE" TargetMode="External"/><Relationship Id="rId36" Type="http://schemas.openxmlformats.org/officeDocument/2006/relationships/hyperlink" Target="https://www.mercadolivre.com.br/filtro-supressor-de-ruido-f-sr-24-240vca/up/MLBU2844838540?pdp_filters=item_id:MLB3914287457" TargetMode="External"/><Relationship Id="rId49" Type="http://schemas.openxmlformats.org/officeDocument/2006/relationships/hyperlink" Target="https://www.solucaocabos.com.br/abracadeira-nylon-t18r-100-x-2-5-mm-hellermann-100uni/p?idsku=12000&amp;gad_source=1&amp;gad_campaignid=19832634360&amp;gbraid=0AAAAAolx81FQSzCFtYWi_ujl1z2vHnH6L&amp;gclid=Cj0KCQjw267GBhCSARIsAOjVJ4F73vlwX6dSYlAM3sQsged_-OOM7KiSxdLtORjAnTHCqLA-ZZiMpTEaAmhGEALw_wcB" TargetMode="External"/><Relationship Id="rId57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106" Type="http://schemas.openxmlformats.org/officeDocument/2006/relationships/hyperlink" Target="http://www.pontodaeletronica.com.br/sensor-de-corrente-n-o-invasivo-100a-sct-013-arduino-pic-gng.html?gad_source=4&amp;gad_campaignid=19959787193&amp;gbraid=0AAAAAoWdpe28_Mr5NvFKLQbfNAKncVVL5&amp;gclid=CjwKCAjw_-3GBhAYEiwAjh9fUGSjM8vdxm9scjxha-YH3KWX9srn09eWTNmPNH3BgkT-vW43GFh0hBoCe90QAvD_BwE" TargetMode="External"/><Relationship Id="rId114" Type="http://schemas.openxmlformats.org/officeDocument/2006/relationships/printerSettings" Target="../printerSettings/printerSettings3.bin"/><Relationship Id="rId10" Type="http://schemas.openxmlformats.org/officeDocument/2006/relationships/hyperlink" Target="https://www.santil.com.br/cabo-coaxial-75-ohms-rg-6-95-branco-para-net-vendido-por-metro-megatron/p?gad_source=1&amp;gad_campaignid=20630900380&amp;gbraid=0AAAAAD7srsauPq1ImyUhMz_kKDmzn5VjJ&amp;gclid=Cj0KCQjw267GBhCSARIsAOjVJ4G2WJztnIaOdS8YQlygdbiQfgNNjQ2Y854swexZoHsfVdPwndUK28YaAmnqEALw_wcB" TargetMode="External"/><Relationship Id="rId31" Type="http://schemas.openxmlformats.org/officeDocument/2006/relationships/hyperlink" Target="http://www.google.com/" TargetMode="External"/><Relationship Id="rId44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52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60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65" Type="http://schemas.openxmlformats.org/officeDocument/2006/relationships/hyperlink" Target="https://www.mercadolivre.com.br/caixa-de-passagem-eletrica-190x140x70-sobrepor-pvc-brbo4/up/MLBU3268495566" TargetMode="External"/><Relationship Id="rId73" Type="http://schemas.openxmlformats.org/officeDocument/2006/relationships/hyperlink" Target="https://www.antferramentas.com.br/fita-isolante-liquida-preta-50g-quimatic-bp1/p?idsku=2005834&amp;utm_source=google&amp;utm_medium=cpc&amp;gad_source=1&amp;gad_campaignid=17347451744&amp;gbraid=0AAAAADqQ7EXR4Fo_Fz34ngp3R2XHOp6Lf&amp;gclid=CjwKCAjw89jGBhB0EiwA2o1On99pfoPiSgVXmg8khLJisz4Z2P7silAUgkZOBGJlTbWQd-6zMfqzLhoCbVcQAvD_BwE" TargetMode="External"/><Relationship Id="rId78" Type="http://schemas.openxmlformats.org/officeDocument/2006/relationships/hyperlink" Target="https://www.kabum.com.br/produto/570713/fonte-de-alimentacao-24v-3a-p4-fonte-24v-3a-bivolt-110-240v?srsltid=AfmBOooIETMPp6lzGPwjSCDLl82HzU66NValEewqQqnoz8aJL6rJJnux7Oo" TargetMode="External"/><Relationship Id="rId81" Type="http://schemas.openxmlformats.org/officeDocument/2006/relationships/hyperlink" Target="https://www.smartcomponentes.com/produto/kit-jumper-femea-femea-20cm-10-pecas.html?utm_source=Site&amp;utm_medium=GoogleMerchant&amp;utm_campaign=GoogleMerchant&amp;gad_source=4&amp;gad_campaignid=20016103399&amp;gbraid=0AAAAApKVtk9f7aL3rbn13z2YD8hiQSTvn&amp;gclid=Cj0KCQjw3OjGBhDYARIsADd-uX479is5qlvGvmVX9q0p3kZD-RCTvzinksHTTaeGhphqoA56iUgYIPcaAs5YEALw_wcB" TargetMode="External"/><Relationship Id="rId86" Type="http://schemas.openxmlformats.org/officeDocument/2006/relationships/hyperlink" Target="https://www.arducore.com.br/kit-jumpers-macho-femea-x40-unidades-20cm?utm_source=Site&amp;utm_medium=GoogleMerchant&amp;utm_campaign=GoogleMerchant&amp;gad_source=4&amp;gad_campaignid=20396558769&amp;gbraid=0AAAAACrKHfeIk9Y3LbmfhbnWwKtZLFYG6&amp;gclid=Cj0KCQjw3OjGBhDYARIsADd-uX7OlcVYsbvCZQCtbKnBB4PsG3PLUloBtjztal8QYY9Adkxzd_7WG2waAt9dEALw_wcB" TargetMode="External"/><Relationship Id="rId94" Type="http://schemas.openxmlformats.org/officeDocument/2006/relationships/hyperlink" Target="https://www.lebiscuit.com.br/transmissor-de-temperatura-e-umidade-rs485-modbus-tru-2017057090/p?idsku=879531&amp;srsltid=AfmBOoqkcEEECYzSSBkGO5Gkg2N2r-ISjyofv67v4opNP3a5GDfdCQonM0k" TargetMode="External"/><Relationship Id="rId99" Type="http://schemas.openxmlformats.org/officeDocument/2006/relationships/hyperlink" Target="https://curtocircuito.com.br/placa-de-circuito-impresso-ilhada-de-fibra-de-vidro-7x9-cm.html?srsltid=AfmBOooxdTK_yuOHzQSJehJxZEqec5fOyifG4yS-8KmhfqWfGDW0U-EUqWc" TargetMode="External"/><Relationship Id="rId101" Type="http://schemas.openxmlformats.org/officeDocument/2006/relationships/hyperlink" Target="https://www.smartcomponentes.com/produto/conector-db9-macho-rs232-serial-capa-curta-cinza-10-pecas?utm_source=Site&amp;utm_medium=GoogleMerchant&amp;utm_campaign=GoogleMerchant&amp;gad_source=4&amp;gad_campaignid=20016103399&amp;gbraid=0AAAAApKVtk8oZ86mjLgBJH0dfXaNfa5kU&amp;gclid=CjwKCAjw_-3GBhAYEiwAjh9fUMX3fS1JSPlqRiu7Zfzg3t2dZNkAHSl0ze0O_G-MEu8X4AIx6YGpmBoCMnkQAvD_BwE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https://www.mercadolivre.com.br/cabo-coaxial-rg6-75ohm-95-malha-megatron-rl-100mts/p/MLB28082626?pdp_filters=item_id%3AMLB5472742842&amp;from=gshop&amp;matt_tool=31485049&amp;matt_internal_campaign_id=&amp;matt_word=&amp;matt_source=google&amp;matt_campaign_id=22090354244&amp;matt_ad_group_id=173090555756&amp;matt_match_type=&amp;matt_network=g&amp;matt_device=c&amp;matt_creative=727882729101&amp;matt_keyword=&amp;matt_ad_position=&amp;matt_ad_type=pla&amp;matt_merchant_id=735098660&amp;matt_product_id=MLB28082626-product&amp;matt_product_partition_id=2392713579061&amp;matt_target_id=aud-1967156880386:pla-2392713579061&amp;cq_src=google_ads&amp;cq_cmp=22090354244&amp;cq_net=g&amp;cq_plt=gp&amp;cq_med=pla&amp;gad_source=1&amp;gad_campaignid=22090354244&amp;gbraid=0AAAAAD93qcDTmdYy4CT-H3Dy0rNT37BAT&amp;gclid=Cj0KCQjw267GBhCSARIsAOjVJ4GwPUzwciVQ1Eg1Ts1yHMraD7S--VUyUEQF8-l7P05OrNZPbaqAUP8aAn8PEALw_wcB" TargetMode="External"/><Relationship Id="rId13" Type="http://schemas.openxmlformats.org/officeDocument/2006/relationships/hyperlink" Target="https://www.mercadolivre.com.br/fio-jumper-2x050mm--rolo-com-500-metros--brancopreto/up/MLBU3386299283?pdp_filters=item_id:MLB5649147088" TargetMode="External"/><Relationship Id="rId18" Type="http://schemas.openxmlformats.org/officeDocument/2006/relationships/hyperlink" Target="https://www.mercadolivre.com.br/protoboard-400-pontos/up/MLBU1754404708?pdp_filters=item_id:MLB811241019" TargetMode="External"/><Relationship Id="rId39" Type="http://schemas.openxmlformats.org/officeDocument/2006/relationships/hyperlink" Target="https://www.magazineluiza.com.br/estanho-fio-1mm-63x37-tubinho-25g-7438633715-vonder/p/cb67caf721/in/pepc/?seller_id=ultramaquinas&amp;srsltid=AfmBOop3uMZztqZPjAn3aquIvd2jNZxcWAvI6LTFUCY05HbbJwSGQQN6aEg" TargetMode="External"/><Relationship Id="rId109" Type="http://schemas.openxmlformats.org/officeDocument/2006/relationships/hyperlink" Target="https://www.arducore.com.br/sensor-de-temperatura-digital-a-prova-dagua-ds18b20?utm_source=Site&amp;utm_medium=GoogleMerchant&amp;utm_campaign=GoogleMerchant&amp;gad_source=4&amp;gad_campaignid=20396558769&amp;gbraid=0AAAAACrKHffprkTc3104msS7X-svt3p8M&amp;gclid=CjwKCAjw_-3GBhAYEiwAjh9fUC8mDceSQpOyNb8hiPVYikncPCogVLjxhcy0MuMmOkKU__tM1Bfd5hoCy2wQAvD_BwE" TargetMode="External"/><Relationship Id="rId34" Type="http://schemas.openxmlformats.org/officeDocument/2006/relationships/hyperlink" Target="https://www.mamuteeletronica.com.br/espacador-cilindrico-em-poliacetal-branco-femea-x-femea-rosca-m3-6x3x10mm-26689" TargetMode="External"/><Relationship Id="rId50" Type="http://schemas.openxmlformats.org/officeDocument/2006/relationships/hyperlink" Target="https://www.kalunga.com.br/prod/abracadeira-de-nylon-2-5x100mm-preto-t18r-hellermanntyton-pt-100-un/346771?cq_src=google_ads&amp;cq_cmp=1505005089&amp;cq_con=60825317747&amp;cq_term=&amp;cq_med=&amp;cq_plac=&amp;cq_net=g&amp;cq_pos=&amp;cq_plt=gp&amp;pcID=1801&amp;gad_source=1&amp;gad_campaignid=1505005089&amp;gbraid=0AAAAADj1B66GSVlaR6QFR3EelqiUQhRWv&amp;gclid=Cj0KCQjw267GBhCSARIsAOjVJ4Gn-A2jEgoQtvge7kFDKIsgdwNJqJy3SiSPgwOzNeFWnGwZokz4D7oaAi48EALw_wcB" TargetMode="External"/><Relationship Id="rId55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76" Type="http://schemas.openxmlformats.org/officeDocument/2006/relationships/hyperlink" Target="https://www.amazon.com.br/Fonte-Chaveada-5VDC-FCTP5001-Hayonik/dp/B0754FTHF7?source=ps-sl-shoppingads-lpcontext&amp;ref_=fplfs&amp;psc=1&amp;smid=A3V6ORYCY953OE" TargetMode="External"/><Relationship Id="rId97" Type="http://schemas.openxmlformats.org/officeDocument/2006/relationships/hyperlink" Target="https://www.crescerengenharia.com/product-page/cpb32h" TargetMode="External"/><Relationship Id="rId104" Type="http://schemas.openxmlformats.org/officeDocument/2006/relationships/hyperlink" Target="https://www.proesi.com.br/sct-013-sensor-de-corrente-n-o-invasivo-100a?utm_source=google-ads&amp;utm_source=%5bV4%5d-%5bVIN%C3%8DCIUS%5d-%5bVENDAS%5d-%5bPMAX%5d-%5bROAS-DESEJADO%5d&amp;utm_content=%5bP2%5d-%5bFRIO%5d-%5bTERMOS-RELACIONADOS%5d&amp;gad_source=4&amp;gad_campaignid=17656097982&amp;gbraid=0AAAAADP44mC5XFXXp00VCsDgMPYAwofg7&amp;gclid=CjwKCAjw_-3GBhAYEiwAjh9fUF77UY3Hv7kwqRxk6RsqiNVmlkpF_-4fLrptzU4h6wdShT5ZwWmFYhoCxWcQAvD_BwE" TargetMode="External"/><Relationship Id="rId7" Type="http://schemas.openxmlformats.org/officeDocument/2006/relationships/hyperlink" Target="https://loja.conduscamp.com.br/produto/cabo-instrumentacaosinal-1x2x250-mm-blindagem-total-dreno-preto/5415419" TargetMode="External"/><Relationship Id="rId71" Type="http://schemas.openxmlformats.org/officeDocument/2006/relationships/hyperlink" Target="https://shopee.com.br/product/290622315/4249885344?gads_t_sig=VTJGc2RHVmtYMTlxTFVSVVRrdENkWVp3RFo3Mkw5czd4Z0hzdEF1WVFibmV0bk5ZcDFsSEl1WEZQdldVd2wydEhCT0FRZndGTzRnU2FKdy82a09Za3kwVXlCek8rcXQ5bEFXemVtUnJ0K1JaWDExZlA5OURNbnpGRU00dSs2OUZLVWdodEdhd3FMU09RQnF2ekJ1d2NnPT0" TargetMode="External"/><Relationship Id="rId92" Type="http://schemas.openxmlformats.org/officeDocument/2006/relationships/hyperlink" Target="https://www.mercadolivre.com.br/modulo-lora-915mhz-sx1276-rfm95w/p/MLB50888168" TargetMode="External"/><Relationship Id="rId2" Type="http://schemas.openxmlformats.org/officeDocument/2006/relationships/hyperlink" Target="http://www.google.com/" TargetMode="External"/><Relationship Id="rId29" Type="http://schemas.openxmlformats.org/officeDocument/2006/relationships/hyperlink" Target="http://www.google.com/" TargetMode="External"/><Relationship Id="rId24" Type="http://schemas.openxmlformats.org/officeDocument/2006/relationships/hyperlink" Target="https://www.eletrogate.com/resistor-120r-1-4w-10-unidades?utm_source=Site&amp;utm_medium=GoogleMerchant&amp;utm_campaign=GoogleMerchant&amp;gad_source=4&amp;gad_campaignid=20223015315&amp;gbraid=0AAAAADqxjs9FhwnDpt4CTcBwG4OhMRu6y&amp;gclid=CjwKCAjw_-3GBhAYEiwAjh9fUK2ScUcboSD1G6b59uYaSbg6GPQHima9mQq0j8VjPyG7QYOCIWmo8BoCUKwQAvD_BwE" TargetMode="External"/><Relationship Id="rId40" Type="http://schemas.openxmlformats.org/officeDocument/2006/relationships/hyperlink" Target="https://www.magazineluiza.com.br/tubinho-de-solda-estanho-63x37-10mm-azul-22g-fluxo-ra-cobix/p/eg1gf6hah9/in/pepc/?seller_id=swellmark&amp;srsltid=AfmBOoqWppamx_78Nwtsnx63d_wCvTRej80TI5nixYhghcIHYirsUHgCy3k" TargetMode="External"/><Relationship Id="rId45" Type="http://schemas.openxmlformats.org/officeDocument/2006/relationships/hyperlink" Target="https://www.mercadolivre.com.br/fio-jumper-2x050mm--rolo-com-500-metros--brancopreto/up/MLBU3386299283?pdp_filters=item_id:MLB5649147088" TargetMode="External"/><Relationship Id="rId66" Type="http://schemas.openxmlformats.org/officeDocument/2006/relationships/hyperlink" Target="https://www.usinainfo.com.br/conversores-de-sinal/conversor-usb-para-rs485-ch340-com-saida-5v-zk-u485-8333.html?srsltid=AfmBOoqcdvJdsWyULW1BU1aakO7keZFkR0UFre_pm6TCXyHXa2x7_xtF" TargetMode="External"/><Relationship Id="rId87" Type="http://schemas.openxmlformats.org/officeDocument/2006/relationships/hyperlink" Target="https://www.eletrogate.com/jumpers-macho-macho-65-unidades?utm_source=Site&amp;utm_medium=GoogleMerchant&amp;utm_campaign=GoogleMerchant&amp;srsltid=AfmBOoq4oUTqsGfWflmfNjU2HscW3hi3dK3r-k2JnRx36mYdfiY-Kv1nFv4" TargetMode="External"/><Relationship Id="rId110" Type="http://schemas.openxmlformats.org/officeDocument/2006/relationships/hyperlink" Target="https://www.mercadolivre.com.br/sensor-de-temperatura-ds18b20-a-prova-dagua-1-metro/up/MLBU1401994979?pdp_filters=item_id:MLB1462984049" TargetMode="External"/><Relationship Id="rId61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2" Type="http://schemas.openxmlformats.org/officeDocument/2006/relationships/hyperlink" Target="https://www.arducore.com.br/jumpers-femea-femea-x40-unidades-20cm?utm_source=Site&amp;utm_medium=GoogleMerchant&amp;utm_campaign=GoogleMerchant&amp;gad_source=4&amp;gad_campaignid=20396558769&amp;gbraid=0AAAAACrKHfeIk9Y3LbmfhbnWwKtZLFYG6&amp;gclid=Cj0KCQjw3OjGBhDYARIsADd-uX7iMEr_bB_-_Z5syCKBh6m9SeFyWBlKdHOmR6J8_56HD-Ks6IoFJu4aAlrBEALw_wcB" TargetMode="External"/><Relationship Id="rId19" Type="http://schemas.openxmlformats.org/officeDocument/2006/relationships/hyperlink" Target="https://www.baudaeletronica.com.br/produto/resistor-120r-5-14w.html?utm_source=Site&amp;utm_medium=GoogleMerchant&amp;utm_campaign=GoogleMerchant&amp;gad_source=4&amp;gad_campaignid=20292490697&amp;gbraid=0AAAAADonfB1aIj-umI0mhi8qVITJBlClA&amp;gclid=CjwKCAjw_-3GBhAYEiwAjh9fUGryCpSbw7b2Lx3VMDmHIulRJkN43bdZ-QNw9diWRpgkqm290UyBhxoC4YUQAvD_BwE" TargetMode="External"/><Relationship Id="rId14" Type="http://schemas.openxmlformats.org/officeDocument/2006/relationships/hyperlink" Target="https://www.plenobras.com.br/646a59a3d496504d21ddf935/cabo-cobre-isolado-pvce-105g-300v-v-1-par-250-mm2-instrumentacao-blindado-preto-nbr-10300-cip105g300v2x250m?srsltid=AfmBOooGMJM9N321gf2IG1sRjVnT-4ml6KUTT5L0sAW_gzZcEO3Fg3FHE7k" TargetMode="External"/><Relationship Id="rId30" Type="http://schemas.openxmlformats.org/officeDocument/2006/relationships/hyperlink" Target="https://www.tecnotronics.com.br/display-lcd-20x4-alfanumerico-interface-com-serial-i2c.html?gad_source=1&amp;gad_campaignid=23007836530&amp;gbraid=0AAAAADMyuI3QNAu6k5KahSkxphVNoNo9a&amp;gclid=CjwKCAjw89jGBhB0EiwA2o1OnwYyBlcR0QqNjyswcj0jIjMykdWoo3wUIjCoxEZJc8qXmCr0bJQzDhoCNPYQAvD_BwE" TargetMode="External"/><Relationship Id="rId35" Type="http://schemas.openxmlformats.org/officeDocument/2006/relationships/hyperlink" Target="https://www.mercadolivre.com.br/fio-estanho-para-soldagem-kit-3-1mm-25g-solda-eletronicos/up/MLBU2939827735?pdp_filters=item_id:MLB5250570834" TargetMode="External"/><Relationship Id="rId56" Type="http://schemas.openxmlformats.org/officeDocument/2006/relationships/hyperlink" Target="https://www.mercadolivre.com.br/botao-pulsador-faceado-1na-1nf-la39j-amarelo-siemens/up/MLBU1403438108?pdp_filters=item_id:MLB1285956577" TargetMode="External"/><Relationship Id="rId77" Type="http://schemas.openxmlformats.org/officeDocument/2006/relationships/hyperlink" Target="https://shopee.com.br/product/351550302/8062318299?gads_t_sig=VTJGc2RHVmtYMTlxTFVSVVRrdENkWVp3RFo3Mkw5czd4Z0hzdEF1WVFibForaUY5RHRKeWErWWlmd3EzVVY2dlhSNU5IZ1YzcVdCQ0RYdTZCYzNNOUNsaS9hYkNPNDUzQU05TFJPU1hiQ1d1UmRTOU5Ud3FnUUNINUwyK0RRdVhkeEdnd25ORWlsalZMUzB6VUFHUUlRPT0" TargetMode="External"/><Relationship Id="rId100" Type="http://schemas.openxmlformats.org/officeDocument/2006/relationships/hyperlink" Target="https://shopee.com.br/product/595700623/22793883974?gads_t_sig=VTJGc2RHVmtYMTlxTFVSVVRrdENkVHQ3ZkZSUTMrR3pBWmZZNzdrcnRBMmhXdDB3R1QvOUhMZlFnd2QwTVlkMU0rYjZocUZhNnord1NId1d6M1VLY0t2MmNTdEplVmJVdWZIZzN4RmdRQ2J3bHpFL3E0bU9abEZhaVF4Z24wVnl1TjcyRG1vU2Q2TnM4Q2t3UGhBYm5RPT0" TargetMode="External"/><Relationship Id="rId105" Type="http://schemas.openxmlformats.org/officeDocument/2006/relationships/hyperlink" Target="https://www.casadoresistor.com.br/sensor-de-corrente-n-o-invasivo-sct013-100a?gad_source=4&amp;gad_campaignid=22313635597&amp;gbraid=0AAAAACPTU44uA8i18zbVQqnxe3I3fTuzf&amp;gclid=CjwKCAjw_-3GBhAYEiwAjh9fUMyti4n9t0BcaTiUdfHtZGColWAa7K-oLzCoflZBd8Z3b6Fx0ciddRoCIxIQAvD_BwE" TargetMode="External"/><Relationship Id="rId8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51" Type="http://schemas.openxmlformats.org/officeDocument/2006/relationships/hyperlink" Target="https://www.ribeiro.ind.br/botao-imp-vd-monob-1na-1nf-la39j-11bg?srsltid=AfmBOorobz8F03pXpeNSBcO_pQ6A3zvy3doy7C7Tl2j_1MbpEYyh_LhpRD8" TargetMode="External"/><Relationship Id="rId72" Type="http://schemas.openxmlformats.org/officeDocument/2006/relationships/hyperlink" Target="https://www.santil.com.br/fita-isolante-liquida-50g/p?gad_source=1&amp;gad_campaignid=20630900380&amp;gbraid=0AAAAAD7srsa4XkenPGV2801hhxuCeqenK&amp;gclid=CjwKCAjw89jGBhB0EiwA2o1On9Ju0xfC4yBcx4dgVXwyPp6Qb0dUVRDY816G2aym7dLoYT81kjoQIhoCJBgQAvD_BwE" TargetMode="External"/><Relationship Id="rId93" Type="http://schemas.openxmlformats.org/officeDocument/2006/relationships/hyperlink" Target="https://shopee.com.br/product/277189279/11438836069?gads_t_sig=VTJGc2RHVmtYMTlxTFVSVVRrdENkVHQ3ZkZSUTMrR3pBWmZZNzdrcnRBMVQ1NkIwekJJQ29mV1pmcm4wdHVCOGo3YVplZEdjcU9kemlYWnBmVGFYTk5LK21BMjMva0lRZHpxeFYrRzM2ZTFFVnBQU3ljbWRjVmJCVS9SSEJYb0ltcCtFaTRLV0xLSXJ4NkVtbHk2SGR3PT0" TargetMode="External"/><Relationship Id="rId98" Type="http://schemas.openxmlformats.org/officeDocument/2006/relationships/hyperlink" Target="https://www.cinestec.com.br/placa-padrao-ilha-desligada-07-x-09cm?srsltid=AfmBOorzMj0tKRvj5WgUr16i8pSu-3JthWYmXprTexg6K4AjPC6NnYrspVk" TargetMode="External"/><Relationship Id="rId3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5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46" Type="http://schemas.openxmlformats.org/officeDocument/2006/relationships/hyperlink" Target="https://www.mercadolivre.com.br/knob-baquelite-padrao-boss-com-parafuso-195mm-mfa01/up/MLBU3260074515?pdp_filters=item_id:MLB5463165830" TargetMode="External"/><Relationship Id="rId67" Type="http://schemas.openxmlformats.org/officeDocument/2006/relationships/hyperlink" Target="https://www.mercadolivre.com.br/conversor-usbrs485-modulo-de-comunicacao--plc/up/MLBU1431755932?pdp_filters=item_id:MLB2815747275" TargetMode="External"/><Relationship Id="rId20" Type="http://schemas.openxmlformats.org/officeDocument/2006/relationships/hyperlink" Target="https://www.eletrogate.com/resistor-4k7-1-4w-10-unidades?utm_source=Site&amp;utm_medium=GoogleMerchant&amp;utm_campaign=GoogleMerchant&amp;gad_source=4&amp;gad_campaignid=20223015315&amp;gbraid=0AAAAADqxjs9FhwnDpt4CTcBwG4OhMRu6y&amp;gclid=CjwKCAjw_-3GBhAYEiwAjh9fUP0z-rE4_6WdOyBOBGDuopqxYxJKGKEeh5TjdvFWFXnu2WQIwWNjfxoCN28QAvD_BwE" TargetMode="External"/><Relationship Id="rId41" Type="http://schemas.openxmlformats.org/officeDocument/2006/relationships/hyperlink" Target="https://www.casadoresistor.com.br/espacador-nylon-femea-femea-m3x10mm-branco" TargetMode="External"/><Relationship Id="rId62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3" Type="http://schemas.openxmlformats.org/officeDocument/2006/relationships/hyperlink" Target="https://produto.mercadolivre.com.br/MLB-4598539690-kit-cabo-jumper-fmea-x-fmea-20cm-40-und-arduino-protoboard-_JM?matt_tool=18956390&amp;utm_source=google_shopping&amp;utm_medium=organic" TargetMode="External"/><Relationship Id="rId88" Type="http://schemas.openxmlformats.org/officeDocument/2006/relationships/hyperlink" Target="https://www.mercadolivre.com.br/kit-jumper-x40-macho-x-macho-premium-20cm/p/MLB37482649?matt_tool=18956390&amp;utm_source=google_shopping&amp;utm_medium=organic&amp;pdp_filters=item_id:MLB4818383854" TargetMode="External"/><Relationship Id="rId111" Type="http://schemas.openxmlformats.org/officeDocument/2006/relationships/hyperlink" Target="https://www.viewtech.ind.br/controlador-logico-programavel-weg-clp-clic02-24vcc-20vr?srsltid=AfmBOoqfElU95RNVcP307KN2DHUhX740OfzHmeerlpQZ82TW8nqZUpHGWow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1" Type="http://schemas.openxmlformats.org/officeDocument/2006/relationships/hyperlink" Target="https://www.baudaeletronica.com.br/produto/resistor-4k7-5-14w.html?utm_source=Site&amp;utm_medium=GoogleMerchant&amp;utm_campaign=GoogleMerchant&amp;gad_source=4&amp;gad_campaignid=20292490697&amp;gbraid=0AAAAADonfB1aIj-umI0mhi8qVITJBlClA&amp;gclid=CjwKCAjw_-3GBhAYEiwAjh9fUNLMHgmtcbSBrNcaayNUgcL17p6W8BadMg-09E0imRsapUcax-NbJxoCvH4QAvD_BwE" TargetMode="External"/><Relationship Id="rId42" Type="http://schemas.openxmlformats.org/officeDocument/2006/relationships/hyperlink" Target="https://www.mercadolivre.com.br/espacador-nylon-diametro-6-x-10mm-rosca-m3-pct-com-50-pecas/up/MLBU1961816765" TargetMode="External"/><Relationship Id="rId47" Type="http://schemas.openxmlformats.org/officeDocument/2006/relationships/hyperlink" Target="https://www.multcomercial.com.br/knob-rotativo-com-parafuso-preto-kp-02p-scott.html?srsltid=AfmBOopy33v5akd8tOd2axjqwRIxZllTCjHERJTW0UzdJM2XNHkF2t4nYOQ" TargetMode="External"/><Relationship Id="rId63" Type="http://schemas.openxmlformats.org/officeDocument/2006/relationships/hyperlink" Target="https://www.mercadolivre.com.br/caixa-de-passagem-hermetica-branca-190x140x70mm-ip66-brbox/p/MLB26380286" TargetMode="External"/><Relationship Id="rId68" Type="http://schemas.openxmlformats.org/officeDocument/2006/relationships/hyperlink" Target="https://shopee.com.br/product/375037417/20869209865?gads_t_sig=VTJGc2RHVmtYMTlxTFVSVVRrdENkVHQ3ZkZSUTMrR3pBWmZZNzdrcnRBM2J5bmo0RmhiSHNXMVA0NHpwcnZyL0lvblVlNmRiak1ISGhJb0lOYkpjN09LeENpNk5yYUwxR25kZnFIYmRWWTRvcGNPdDcxTVlqT1YvNVgxN2hpYUozMDY0cVNweUpMdXVVVDJkdGNXdjRnPT0&amp;gad_source=4&amp;gad_campaignid=20824904870&amp;gbraid=0AAAAACoEtRmbgQJtRaxUe4IeOmnUWuKWp&amp;gclid=CjwKCAjw89jGBhB0EiwA2o1On2nXdlgP3_0nOixytHDNJ1wcMFZoVGl8b9JV3LErCtA5KsYPgE49dhoCc84QAvD_BwE" TargetMode="External"/><Relationship Id="rId84" Type="http://schemas.openxmlformats.org/officeDocument/2006/relationships/hyperlink" Target="https://www.fornell.com.br/produtos/kit-de-cabos-jumper-macho-x-femea-20cm/?variant=111519234&amp;pf=mc&amp;srsltid=AfmBOoqxp5DrWwSiyUzQUbP3-Q6p-so0lxmR6-Dl1hSYs8up2RLPggduvpk" TargetMode="External"/><Relationship Id="rId89" Type="http://schemas.openxmlformats.org/officeDocument/2006/relationships/hyperlink" Target="https://www.arducore.com.br/jumpers-macho-macho-x40-unidades-20cm?utm_source=Site&amp;utm_medium=GoogleMerchant&amp;utm_campaign=GoogleMerchant&amp;gad_source=4&amp;gad_campaignid=20396558769&amp;gbraid=0AAAAACrKHfeIk9Y3LbmfhbnWwKtZLFYG6&amp;gclid=Cj0KCQjw3OjGBhDYARIsADd-uX7h1w0hfzwIMibIK7cUKtFbi7ohW-Ccb8vJuQsxr61D6sp93aZCqCkaAvbtEALw_wcB" TargetMode="External"/><Relationship Id="rId112" Type="http://schemas.openxmlformats.org/officeDocument/2006/relationships/hyperlink" Target="https://www.mercadolivre.com.br/controlador-logico-clic02-clw02-20vrd-3rd-24vcc-11268449/up/MLBU2886663265?pdp_filters=item_id:MLB5213852204" TargetMode="External"/><Relationship Id="rId16" Type="http://schemas.openxmlformats.org/officeDocument/2006/relationships/hyperlink" Target="https://www.smartcomponentes.com/produto/protoboard-400-pontos.html?utm_source=Site&amp;utm_medium=GoogleMerchant&amp;utm_campaign=GoogleMerchant&amp;gad_source=1&amp;gad_campaignid=20016103399&amp;gbraid=0AAAAApKVtk8FKTV5Isxw7okQYChW4r8_-&amp;gclid=CjwKCAjw_-3GBhAYEiwAjh9fUDhaIchprGuOCUPVS2e6Or9jnJ_sTux8zoDIYm8PjjpRm15AjDTaWhoC_hYQAvD_BwE" TargetMode="External"/><Relationship Id="rId107" Type="http://schemas.openxmlformats.org/officeDocument/2006/relationships/hyperlink" Target="https://www.usinainfo.com.br/sensor-de-nivel-arduino/sensor-de-nivel-submersivel-para-liquidos-rs485-sonda-inox-304-3m-com-cabo-de-5m-9120.html?gad_source=4&amp;gad_campaignid=17181939790&amp;gbraid=0AAAAAD4ryP_9o8pTrnCPa2EcpO0b88nYo&amp;gclid=CjwKCAjw_-3GBhAYEiwAjh9fULMHofjia-w_zj9chCeVx4CDGIqkIRPw19dqTjVLX_f2KXiSPjMAdRoC-lkQAvD_BwE" TargetMode="External"/><Relationship Id="rId11" Type="http://schemas.openxmlformats.org/officeDocument/2006/relationships/hyperlink" Target="https://www.jccabos.com.br/oi315c8mg-cabo-coaxial-rg6-malha-95-rolo-300-metros-megatron?gad_source=1&amp;gad_campaignid=20771949283&amp;gbraid=0AAAAADLaxzNtRva4CX2jkdgEdiJpCJGQ7&amp;gclid=Cj0KCQjw267GBhCSARIsAOjVJ4FOoCEDfvIcXJwO47wRo0Mwsu7Gdoh6YBwHbxZN9dmUfXlwBZ8mv1UaAoa1EALw_wcB" TargetMode="External"/><Relationship Id="rId32" Type="http://schemas.openxmlformats.org/officeDocument/2006/relationships/hyperlink" Target="https://curtocircuito.com.br/display-lcd-20x4-backlight-azul-i2c.html?utm_term=&amp;utm_campaign=&amp;utm_source=adwords&amp;utm_medium=ppc&amp;hsa_acc=7016354091&amp;hsa_cam=20564613353&amp;hsa_grp=152310099103&amp;hsa_ad=674376925417&amp;hsa_src=g&amp;hsa_tgt=pla-384382900750&amp;hsa_kw=&amp;hsa_mt=&amp;hsa_net=adwords&amp;hsa_ver=3&amp;gad_source=4&amp;gad_campaignid=20564613353&amp;gbraid=0AAAAADLsNZ0773jOHW9RbciWOM2ZubAdd&amp;gclid=CjwKCAjw89jGBhB0EiwA2o1On4SvFkAwVsYtEGuchzPW9rEkTt9iwEYn9038VCxyuI1GbLKEI3cmhxoCQN8QAvD_BwE" TargetMode="External"/><Relationship Id="rId37" Type="http://schemas.openxmlformats.org/officeDocument/2006/relationships/hyperlink" Target="https://www.barataodosul.com.br/filtro-supressor-de-ruido-f-sr-para-corrente-alternada-24-240vca-10154-sibratec?utm_source=google&amp;utm_medium=Shopping&amp;utm_campaign=filtro-supressor-de-ruido-f-sr-para-corrente-alternada-24-240vca-10154-sibratec&amp;inStock&amp;gad_source=4&amp;gad_campaignid=21294307890&amp;gbraid=0AAAAAp1t8UVDmu2VmASSlWz1mIoMPPeLC&amp;gclid=CjwKCAjw89jGBhB0EiwA2o1On-eytuXTznN8utDG2xIeLIPahaZZgQKCvUCUxaAk9fMmpgSEIBlztRoCwCMQAvD_BwE" TargetMode="External"/><Relationship Id="rId53" Type="http://schemas.openxmlformats.org/officeDocument/2006/relationships/hyperlink" Target="https://www.mercadolivre.com.br/botao-pulsador-faceado-1na-1nf-la39j-amarelo-siemens/up/MLBU1403438108?pdp_filters=item_id:MLB1285956577" TargetMode="External"/><Relationship Id="rId58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74" Type="http://schemas.openxmlformats.org/officeDocument/2006/relationships/hyperlink" Target="https://www.nikkeypar.com.br/fita-isolante-liquida-preta-50g-quimatic-tapmatic-p46719" TargetMode="External"/><Relationship Id="rId79" Type="http://schemas.openxmlformats.org/officeDocument/2006/relationships/hyperlink" Target="https://www.leroymerlin.com.br/fonte-de-alimentacao-24v-3a-p4-fonte-24v-3a-bivolt-110-240v_1571766897?srsltid=AfmBOopwC-Gk4_Jpyz70tcy5Wibqr-eJPaEidCV6QdEj3cT_eC3jCdDKR1A" TargetMode="External"/><Relationship Id="rId102" Type="http://schemas.openxmlformats.org/officeDocument/2006/relationships/hyperlink" Target="https://www.mercadolivre.com.br/kit-10-conector-db9-macho-9-pinos--10-capas-rs232-serial/up/MLBU2882293820?pdp_filters=item_id:MLB5207064260" TargetMode="External"/><Relationship Id="rId5" Type="http://schemas.openxmlformats.org/officeDocument/2006/relationships/hyperlink" Target="https://www.mercadolivre.com.br/cabo-shield-blindado-2-vias-2x1mm-para-sinal-100mts/up/MLBU1468616041" TargetMode="External"/><Relationship Id="rId90" Type="http://schemas.openxmlformats.org/officeDocument/2006/relationships/hyperlink" Target="https://www.crescerengenharia.com/product-page/modulo-io-4x4-12c" TargetMode="External"/><Relationship Id="rId95" Type="http://schemas.openxmlformats.org/officeDocument/2006/relationships/hyperlink" Target="https://www.smartcomponentes.com/sensor-transmissor-de-temperatura-e-umidade-rs485-serial-modbus-rtu-xy-md02?utm_source=Site&amp;utm_medium=GoogleShopping&amp;utm_campaign=IntegracaoGoogle&amp;srsltid=AfmBOooj0Iemfbrlm5Erivbr2nngUOjCreT6Y2xqbhSA8--St9JB2RWjR6E" TargetMode="External"/><Relationship Id="rId22" Type="http://schemas.openxmlformats.org/officeDocument/2006/relationships/hyperlink" Target="https://www.casadoresistor.com.br/resistor-filme-carbono-carvao-cr25-1-4w-5-4k7?gad_source=4&amp;gad_campaignid=22313635597&amp;gbraid=0AAAAACPTU44uA8i18zbVQqnxe3I3fTuzf&amp;gclid=CjwKCAjw_-3GBhAYEiwAjh9fUCjuFVCNGX1QurrB2_jlG8D4RXDYXb4ZnX_KjISi4E_Ufwi4ZhSChxoC-Z8QAvD_BwE" TargetMode="External"/><Relationship Id="rId27" Type="http://schemas.openxmlformats.org/officeDocument/2006/relationships/hyperlink" Target="https://www.mercadolivre.com.br/cabo-shield-blindado-2-vias-2x1mm-para-sinal-100mts/up/MLBU1468616041" TargetMode="External"/><Relationship Id="rId43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48" Type="http://schemas.openxmlformats.org/officeDocument/2006/relationships/hyperlink" Target="https://www.santil.com.br/abracadeira-nylon-t18r-100x250mm-pacote-100-preto-hellermann/p?gad_source=1&amp;gad_campaignid=20630900380&amp;gbraid=0AAAAAD7srsauPq1ImyUhMz_kKDmzn5VjJ&amp;gclid=Cj0KCQjw267GBhCSARIsAOjVJ4GXGepPo4u7kt8Pjad7pt5zVySzk4arBHoKt8CGHuP6_RHjYbSzhCYaAsSoEALw_wcB" TargetMode="External"/><Relationship Id="rId64" Type="http://schemas.openxmlformats.org/officeDocument/2006/relationships/hyperlink" Target="https://www.distribuidorahg.com.br/caixa-de-passagem-eletrica-190x140x70-sobrepor-pvc-brbo4?utm_source=Site&amp;utm_medium=GoogleMerchant&amp;utm_campaign=GoogleMerchant&amp;gad_source=1&amp;gad_campaignid=20789756799&amp;gbraid=0AAAAAqVJmSP3oZPSxlHaFnl7qorbH1fjs&amp;gclid=CjwKCAjw89jGBhB0EiwA2o1On9Vj3pGm9lgwP655Gpd59Efvze9yxoXI6QoBR42kp9devKEREjhPzxoCf7UQAvD_BwE" TargetMode="External"/><Relationship Id="rId69" Type="http://schemas.openxmlformats.org/officeDocument/2006/relationships/hyperlink" Target="https://www.usinainfo.com.br/conversores-de-sinal/conversor-rs232-para-rs485-sintechi-passivo-stm485-h-5182.html?srsltid=AfmBOooTAZpaxOOapSkCPDlIsM5iHxnHN9fdhyThCsRE7018qol8alze" TargetMode="External"/><Relationship Id="rId113" Type="http://schemas.openxmlformats.org/officeDocument/2006/relationships/hyperlink" Target="https://www.refercomercio.com.br/comandos-eletricos/reles/controlador-logico-programavel-weg-clp-clic02-24vcc-20vr?parceiro=5922&amp;srsltid=AfmBOop0xT7a1KEuh7rNT9ctz37owkZvUrRlnJtkh7P4WL_hSLNhSIa2Pk0" TargetMode="External"/><Relationship Id="rId80" Type="http://schemas.openxmlformats.org/officeDocument/2006/relationships/hyperlink" Target="https://produto.mercadolivre.com.br/MLB-3702259590-fonte-de-alimentaco-24v-3a-p4-fonte-24v-3a-bivolt-110-240v-_JM" TargetMode="External"/><Relationship Id="rId85" Type="http://schemas.openxmlformats.org/officeDocument/2006/relationships/hyperlink" Target="https://www.mercadolivre.com.br/40-cabos-jumper-20cm-macho-x-femea/up/MLBU1715735778?pdp_filters=item_id:MLB1735287970" TargetMode="External"/><Relationship Id="rId12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17" Type="http://schemas.openxmlformats.org/officeDocument/2006/relationships/hyperlink" Target="https://www.arducore.com.br/protoboard-400-pontos?utm_source=Site&amp;utm_medium=GoogleMerchant&amp;utm_campaign=GoogleMerchant&amp;gad_source=1&amp;gad_campaignid=20396558769&amp;gbraid=0AAAAACrKHfcYEUbYjtevk70BJu8ygkO1f&amp;gclid=CjwKCAjw_-3GBhAYEiwAjh9fUGK_ZL-MFlQln8N10mz_cEDlckz-6XZJhR3Fhe-99BKkQmuG0TokuBoCPxIQAvD_BwE" TargetMode="External"/><Relationship Id="rId33" Type="http://schemas.openxmlformats.org/officeDocument/2006/relationships/hyperlink" Target="http://www.google.com/" TargetMode="External"/><Relationship Id="rId38" Type="http://schemas.openxmlformats.org/officeDocument/2006/relationships/hyperlink" Target="https://produto.mercadolivre.com.br/MLB-3778972826-filtro-supressor-ruido-f-sr-vca-24-240vca-2-pecas-_JM?matt_tool=44747869&amp;matt_internal_campaign_id=&amp;matt_word=&amp;matt_source=google&amp;matt_campaign_id=22603531439&amp;matt_ad_group_id=183641039649&amp;matt_match_type=&amp;matt_network=g&amp;matt_device=c&amp;matt_creative=758138322197&amp;matt_keyword=&amp;matt_ad_position=&amp;matt_ad_type=pla&amp;matt_merchant_id=109654657&amp;matt_product_id=MLB3778972826&amp;matt_product_partition_id=2424646252682&amp;matt_target_id=aud-1967156880386:pla-2424646252682&amp;cq_src=google_ads&amp;cq_cmp=22603531439&amp;cq_net=g&amp;cq_plt=gp&amp;cq_med=pla&amp;gad_source=4&amp;gad_campaignid=22603531439&amp;gbraid=0AAAAAD93qcA9J2dsGRrpGH50y6f4iggN9&amp;gclid=CjwKCAjw89jGBhB0EiwA2o1On1e57X71dNlgWpGWfClj4lKSmSKXjxvDkI_JyCNoq1XFtEglDFXKRxoCp30QAvD_BwE" TargetMode="External"/><Relationship Id="rId59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103" Type="http://schemas.openxmlformats.org/officeDocument/2006/relationships/hyperlink" Target="https://www.mercadolivre.com.br/kit-10-conector-db9-macho-9-pinos-com-10-capas-rs232-serial/up/MLBU1963221265?pdp_filters=item_id:MLB1751981398" TargetMode="External"/><Relationship Id="rId108" Type="http://schemas.openxmlformats.org/officeDocument/2006/relationships/hyperlink" Target="https://www.breletronica.com.br/sensor-de-temperatura-ds18b20-a-prova-dagua?utm_source=Site&amp;utm_medium=GoogleShopping&amp;utm_campaign=IntegracaoGoogle&amp;gad_source=4&amp;gad_campaignid=20944641502&amp;gbraid=0AAAAAquWLeEv-lV9ZuZWGB4K8SY0q32vB&amp;gclid=CjwKCAjw_-3GBhAYEiwAjh9fUICfKKv5TGnbuvzFn0r3OpSXMQsogawFW7zKUkIEhdOWjbYjAaxzqRoCSKgQAvD_BwE" TargetMode="External"/><Relationship Id="rId54" Type="http://schemas.openxmlformats.org/officeDocument/2006/relationships/hyperlink" Target="https://www.ribeiro.ind.br/botao-imp-vd-monob-1na-1nf-la39j-11bg?srsltid=AfmBOorobz8F03pXpeNSBcO_pQ6A3zvy3doy7C7Tl2j_1MbpEYyh_LhpRD8" TargetMode="External"/><Relationship Id="rId70" Type="http://schemas.openxmlformats.org/officeDocument/2006/relationships/hyperlink" Target="https://www.mercadolivre.com.br/conversor-sintechi-rs232-rs485-1200m-interface-serial-stm485/up/MLBU1976037776" TargetMode="External"/><Relationship Id="rId75" Type="http://schemas.openxmlformats.org/officeDocument/2006/relationships/hyperlink" Target="https://www.casadarobotica.com/fontes-conversores/fontes/fontes-chaveadas/fonte-dc-chaveada-5v-1a-plug-p4-bivolt?parceiro=3259&amp;srsltid=AfmBOoqkkpW-xHvRl5Exi4Wsp5AwEZLQTEt2uBlEW9JoV0bLxQwt0xcDXBM" TargetMode="External"/><Relationship Id="rId91" Type="http://schemas.openxmlformats.org/officeDocument/2006/relationships/hyperlink" Target="https://www.mercadolivre.com.br/modulo-lora-915mhz-100mw--lora-1276-v20/up/MLBU1962047493" TargetMode="External"/><Relationship Id="rId96" Type="http://schemas.openxmlformats.org/officeDocument/2006/relationships/hyperlink" Target="https://www.mercadolivre.com.br/sensor-de-temperatura-e-umidade-modbusrtu-rs485-xymd02/up/MLBU794459011?pdp_filters=item_id:MLB2724128337" TargetMode="External"/><Relationship Id="rId1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6" Type="http://schemas.openxmlformats.org/officeDocument/2006/relationships/hyperlink" Target="http://www.google.com/" TargetMode="External"/><Relationship Id="rId15" Type="http://schemas.openxmlformats.org/officeDocument/2006/relationships/hyperlink" Target="https://www.mercadolivre.com.br/cabo-instrumentacao-2x250mm-50m-blindado-50-metros/up/MLBU2718029309?pdp_filters=item_id:MLB5167929988" TargetMode="External"/><Relationship Id="rId23" Type="http://schemas.openxmlformats.org/officeDocument/2006/relationships/hyperlink" Target="https://www.casadoresistor.com.br/resistor-filme-carbono-carvao-cr25-1-4w-5-120o?gad_source=4&amp;gad_campaignid=22313635597&amp;gbraid=0AAAAACPTU44uA8i18zbVQqnxe3I3fTuzf&amp;gclid=CjwKCAjw_-3GBhAYEiwAjh9fUBIWWheiIzMLWv6FIW7-y-9hmECpdWa78jW0thm5cEdipH1FmwcDohoCH0sQAvD_BwE" TargetMode="External"/><Relationship Id="rId28" Type="http://schemas.openxmlformats.org/officeDocument/2006/relationships/hyperlink" Target="https://shopee.com.br/product/350953204/6480768779?gads_t_sig=VTJGc2RHVmtYMTlxTFVSVVRrdENkWVp3RFo3Mkw5czd4Z0hzdEF1WVFibUY4L082WE95c0hkZ1U2ekJlazFpVkRqR0Rpb3E1VnNDOXE1S1BGNnBJVzBUd3NMNnNlTDI3OWJvM09rOHh1dEtVRjN0MnNUS2dxY2RIcFYxOHpQd25zK2tjelR3NUdiUlVrVmJUeGcwcEpBPT0&amp;gad_source=1&amp;gad_campaignid=20824904870&amp;gbraid=0AAAAACoEtRlm00xqZHOr9Y5TVjgiiLER7&amp;gclid=CjwKCAjw89jGBhB0EiwA2o1On_Eaeq2lMRVD-YjnJmBfxm3FeYmB8FBbOIJ67cFaUYrybA5OLMisRBoCxK0QAvD_BwE" TargetMode="External"/><Relationship Id="rId36" Type="http://schemas.openxmlformats.org/officeDocument/2006/relationships/hyperlink" Target="https://www.mercadolivre.com.br/filtro-supressor-de-ruido-f-sr-24-240vca/up/MLBU2844838540?pdp_filters=item_id:MLB3914287457" TargetMode="External"/><Relationship Id="rId49" Type="http://schemas.openxmlformats.org/officeDocument/2006/relationships/hyperlink" Target="https://www.solucaocabos.com.br/abracadeira-nylon-t18r-100-x-2-5-mm-hellermann-100uni/p?idsku=12000&amp;gad_source=1&amp;gad_campaignid=19832634360&amp;gbraid=0AAAAAolx81FQSzCFtYWi_ujl1z2vHnH6L&amp;gclid=Cj0KCQjw267GBhCSARIsAOjVJ4F73vlwX6dSYlAM3sQsged_-OOM7KiSxdLtORjAnTHCqLA-ZZiMpTEaAmhGEALw_wcB" TargetMode="External"/><Relationship Id="rId57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106" Type="http://schemas.openxmlformats.org/officeDocument/2006/relationships/hyperlink" Target="http://www.pontodaeletronica.com.br/sensor-de-corrente-n-o-invasivo-100a-sct-013-arduino-pic-gng.html?gad_source=4&amp;gad_campaignid=19959787193&amp;gbraid=0AAAAAoWdpe28_Mr5NvFKLQbfNAKncVVL5&amp;gclid=CjwKCAjw_-3GBhAYEiwAjh9fUGSjM8vdxm9scjxha-YH3KWX9srn09eWTNmPNH3BgkT-vW43GFh0hBoCe90QAvD_BwE" TargetMode="External"/><Relationship Id="rId114" Type="http://schemas.openxmlformats.org/officeDocument/2006/relationships/printerSettings" Target="../printerSettings/printerSettings4.bin"/><Relationship Id="rId10" Type="http://schemas.openxmlformats.org/officeDocument/2006/relationships/hyperlink" Target="https://www.santil.com.br/cabo-coaxial-75-ohms-rg-6-95-branco-para-net-vendido-por-metro-megatron/p?gad_source=1&amp;gad_campaignid=20630900380&amp;gbraid=0AAAAAD7srsauPq1ImyUhMz_kKDmzn5VjJ&amp;gclid=Cj0KCQjw267GBhCSARIsAOjVJ4G2WJztnIaOdS8YQlygdbiQfgNNjQ2Y854swexZoHsfVdPwndUK28YaAmnqEALw_wcB" TargetMode="External"/><Relationship Id="rId31" Type="http://schemas.openxmlformats.org/officeDocument/2006/relationships/hyperlink" Target="http://www.google.com/" TargetMode="External"/><Relationship Id="rId44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52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60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65" Type="http://schemas.openxmlformats.org/officeDocument/2006/relationships/hyperlink" Target="https://www.mercadolivre.com.br/caixa-de-passagem-eletrica-190x140x70-sobrepor-pvc-brbo4/up/MLBU3268495566" TargetMode="External"/><Relationship Id="rId73" Type="http://schemas.openxmlformats.org/officeDocument/2006/relationships/hyperlink" Target="https://www.antferramentas.com.br/fita-isolante-liquida-preta-50g-quimatic-bp1/p?idsku=2005834&amp;utm_source=google&amp;utm_medium=cpc&amp;gad_source=1&amp;gad_campaignid=17347451744&amp;gbraid=0AAAAADqQ7EXR4Fo_Fz34ngp3R2XHOp6Lf&amp;gclid=CjwKCAjw89jGBhB0EiwA2o1On99pfoPiSgVXmg8khLJisz4Z2P7silAUgkZOBGJlTbWQd-6zMfqzLhoCbVcQAvD_BwE" TargetMode="External"/><Relationship Id="rId78" Type="http://schemas.openxmlformats.org/officeDocument/2006/relationships/hyperlink" Target="https://www.kabum.com.br/produto/570713/fonte-de-alimentacao-24v-3a-p4-fonte-24v-3a-bivolt-110-240v?srsltid=AfmBOooIETMPp6lzGPwjSCDLl82HzU66NValEewqQqnoz8aJL6rJJnux7Oo" TargetMode="External"/><Relationship Id="rId81" Type="http://schemas.openxmlformats.org/officeDocument/2006/relationships/hyperlink" Target="https://www.smartcomponentes.com/produto/kit-jumper-femea-femea-20cm-10-pecas.html?utm_source=Site&amp;utm_medium=GoogleMerchant&amp;utm_campaign=GoogleMerchant&amp;gad_source=4&amp;gad_campaignid=20016103399&amp;gbraid=0AAAAApKVtk9f7aL3rbn13z2YD8hiQSTvn&amp;gclid=Cj0KCQjw3OjGBhDYARIsADd-uX479is5qlvGvmVX9q0p3kZD-RCTvzinksHTTaeGhphqoA56iUgYIPcaAs5YEALw_wcB" TargetMode="External"/><Relationship Id="rId86" Type="http://schemas.openxmlformats.org/officeDocument/2006/relationships/hyperlink" Target="https://www.arducore.com.br/kit-jumpers-macho-femea-x40-unidades-20cm?utm_source=Site&amp;utm_medium=GoogleMerchant&amp;utm_campaign=GoogleMerchant&amp;gad_source=4&amp;gad_campaignid=20396558769&amp;gbraid=0AAAAACrKHfeIk9Y3LbmfhbnWwKtZLFYG6&amp;gclid=Cj0KCQjw3OjGBhDYARIsADd-uX7OlcVYsbvCZQCtbKnBB4PsG3PLUloBtjztal8QYY9Adkxzd_7WG2waAt9dEALw_wcB" TargetMode="External"/><Relationship Id="rId94" Type="http://schemas.openxmlformats.org/officeDocument/2006/relationships/hyperlink" Target="https://www.lebiscuit.com.br/transmissor-de-temperatura-e-umidade-rs485-modbus-tru-2017057090/p?idsku=879531&amp;srsltid=AfmBOoqkcEEECYzSSBkGO5Gkg2N2r-ISjyofv67v4opNP3a5GDfdCQonM0k" TargetMode="External"/><Relationship Id="rId99" Type="http://schemas.openxmlformats.org/officeDocument/2006/relationships/hyperlink" Target="https://curtocircuito.com.br/placa-de-circuito-impresso-ilhada-de-fibra-de-vidro-7x9-cm.html?srsltid=AfmBOooxdTK_yuOHzQSJehJxZEqec5fOyifG4yS-8KmhfqWfGDW0U-EUqWc" TargetMode="External"/><Relationship Id="rId101" Type="http://schemas.openxmlformats.org/officeDocument/2006/relationships/hyperlink" Target="https://www.smartcomponentes.com/produto/conector-db9-macho-rs232-serial-capa-curta-cinza-10-pecas?utm_source=Site&amp;utm_medium=GoogleMerchant&amp;utm_campaign=GoogleMerchant&amp;gad_source=4&amp;gad_campaignid=20016103399&amp;gbraid=0AAAAApKVtk8oZ86mjLgBJH0dfXaNfa5kU&amp;gclid=CjwKCAjw_-3GBhAYEiwAjh9fUMX3fS1JSPlqRiu7Zfzg3t2dZNkAHSl0ze0O_G-MEu8X4AIx6YGpmBoCMnkQAvD_BwE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https://www.mercadolivre.com.br/cabo-coaxial-rg6-75ohm-95-malha-megatron-rl-100mts/p/MLB28082626?pdp_filters=item_id%3AMLB5472742842&amp;from=gshop&amp;matt_tool=31485049&amp;matt_internal_campaign_id=&amp;matt_word=&amp;matt_source=google&amp;matt_campaign_id=22090354244&amp;matt_ad_group_id=173090555756&amp;matt_match_type=&amp;matt_network=g&amp;matt_device=c&amp;matt_creative=727882729101&amp;matt_keyword=&amp;matt_ad_position=&amp;matt_ad_type=pla&amp;matt_merchant_id=735098660&amp;matt_product_id=MLB28082626-product&amp;matt_product_partition_id=2392713579061&amp;matt_target_id=aud-1967156880386:pla-2392713579061&amp;cq_src=google_ads&amp;cq_cmp=22090354244&amp;cq_net=g&amp;cq_plt=gp&amp;cq_med=pla&amp;gad_source=1&amp;gad_campaignid=22090354244&amp;gbraid=0AAAAAD93qcDTmdYy4CT-H3Dy0rNT37BAT&amp;gclid=Cj0KCQjw267GBhCSARIsAOjVJ4GwPUzwciVQ1Eg1Ts1yHMraD7S--VUyUEQF8-l7P05OrNZPbaqAUP8aAn8PEALw_wcB" TargetMode="External"/><Relationship Id="rId13" Type="http://schemas.openxmlformats.org/officeDocument/2006/relationships/hyperlink" Target="https://www.mercadolivre.com.br/fio-jumper-2x050mm--rolo-com-500-metros--brancopreto/up/MLBU3386299283?pdp_filters=item_id:MLB5649147088" TargetMode="External"/><Relationship Id="rId18" Type="http://schemas.openxmlformats.org/officeDocument/2006/relationships/hyperlink" Target="https://www.mercadolivre.com.br/protoboard-400-pontos/up/MLBU1754404708?pdp_filters=item_id:MLB811241019" TargetMode="External"/><Relationship Id="rId39" Type="http://schemas.openxmlformats.org/officeDocument/2006/relationships/hyperlink" Target="https://www.magazineluiza.com.br/estanho-fio-1mm-63x37-tubinho-25g-7438633715-vonder/p/cb67caf721/in/pepc/?seller_id=ultramaquinas&amp;srsltid=AfmBOop3uMZztqZPjAn3aquIvd2jNZxcWAvI6LTFUCY05HbbJwSGQQN6aEg" TargetMode="External"/><Relationship Id="rId109" Type="http://schemas.openxmlformats.org/officeDocument/2006/relationships/hyperlink" Target="https://www.arducore.com.br/sensor-de-temperatura-digital-a-prova-dagua-ds18b20?utm_source=Site&amp;utm_medium=GoogleMerchant&amp;utm_campaign=GoogleMerchant&amp;gad_source=4&amp;gad_campaignid=20396558769&amp;gbraid=0AAAAACrKHffprkTc3104msS7X-svt3p8M&amp;gclid=CjwKCAjw_-3GBhAYEiwAjh9fUC8mDceSQpOyNb8hiPVYikncPCogVLjxhcy0MuMmOkKU__tM1Bfd5hoCy2wQAvD_BwE" TargetMode="External"/><Relationship Id="rId34" Type="http://schemas.openxmlformats.org/officeDocument/2006/relationships/hyperlink" Target="https://www.mamuteeletronica.com.br/espacador-cilindrico-em-poliacetal-branco-femea-x-femea-rosca-m3-6x3x10mm-26689" TargetMode="External"/><Relationship Id="rId50" Type="http://schemas.openxmlformats.org/officeDocument/2006/relationships/hyperlink" Target="https://www.kalunga.com.br/prod/abracadeira-de-nylon-2-5x100mm-preto-t18r-hellermanntyton-pt-100-un/346771?cq_src=google_ads&amp;cq_cmp=1505005089&amp;cq_con=60825317747&amp;cq_term=&amp;cq_med=&amp;cq_plac=&amp;cq_net=g&amp;cq_pos=&amp;cq_plt=gp&amp;pcID=1801&amp;gad_source=1&amp;gad_campaignid=1505005089&amp;gbraid=0AAAAADj1B66GSVlaR6QFR3EelqiUQhRWv&amp;gclid=Cj0KCQjw267GBhCSARIsAOjVJ4Gn-A2jEgoQtvge7kFDKIsgdwNJqJy3SiSPgwOzNeFWnGwZokz4D7oaAi48EALw_wcB" TargetMode="External"/><Relationship Id="rId55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76" Type="http://schemas.openxmlformats.org/officeDocument/2006/relationships/hyperlink" Target="https://www.amazon.com.br/Fonte-Chaveada-5VDC-FCTP5001-Hayonik/dp/B0754FTHF7?source=ps-sl-shoppingads-lpcontext&amp;ref_=fplfs&amp;psc=1&amp;smid=A3V6ORYCY953OE" TargetMode="External"/><Relationship Id="rId97" Type="http://schemas.openxmlformats.org/officeDocument/2006/relationships/hyperlink" Target="https://www.crescerengenharia.com/product-page/cpb32h" TargetMode="External"/><Relationship Id="rId104" Type="http://schemas.openxmlformats.org/officeDocument/2006/relationships/hyperlink" Target="https://www.proesi.com.br/sct-013-sensor-de-corrente-n-o-invasivo-100a?utm_source=google-ads&amp;utm_source=%5bV4%5d-%5bVIN%C3%8DCIUS%5d-%5bVENDAS%5d-%5bPMAX%5d-%5bROAS-DESEJADO%5d&amp;utm_content=%5bP2%5d-%5bFRIO%5d-%5bTERMOS-RELACIONADOS%5d&amp;gad_source=4&amp;gad_campaignid=17656097982&amp;gbraid=0AAAAADP44mC5XFXXp00VCsDgMPYAwofg7&amp;gclid=CjwKCAjw_-3GBhAYEiwAjh9fUF77UY3Hv7kwqRxk6RsqiNVmlkpF_-4fLrptzU4h6wdShT5ZwWmFYhoCxWcQAvD_BwE" TargetMode="External"/><Relationship Id="rId7" Type="http://schemas.openxmlformats.org/officeDocument/2006/relationships/hyperlink" Target="https://loja.conduscamp.com.br/produto/cabo-instrumentacaosinal-1x2x250-mm-blindagem-total-dreno-preto/5415419" TargetMode="External"/><Relationship Id="rId71" Type="http://schemas.openxmlformats.org/officeDocument/2006/relationships/hyperlink" Target="https://shopee.com.br/product/290622315/4249885344?gads_t_sig=VTJGc2RHVmtYMTlxTFVSVVRrdENkWVp3RFo3Mkw5czd4Z0hzdEF1WVFibmV0bk5ZcDFsSEl1WEZQdldVd2wydEhCT0FRZndGTzRnU2FKdy82a09Za3kwVXlCek8rcXQ5bEFXemVtUnJ0K1JaWDExZlA5OURNbnpGRU00dSs2OUZLVWdodEdhd3FMU09RQnF2ekJ1d2NnPT0" TargetMode="External"/><Relationship Id="rId92" Type="http://schemas.openxmlformats.org/officeDocument/2006/relationships/hyperlink" Target="https://www.mercadolivre.com.br/modulo-lora-915mhz-sx1276-rfm95w/p/MLB50888168" TargetMode="External"/><Relationship Id="rId2" Type="http://schemas.openxmlformats.org/officeDocument/2006/relationships/hyperlink" Target="http://www.google.com/" TargetMode="External"/><Relationship Id="rId29" Type="http://schemas.openxmlformats.org/officeDocument/2006/relationships/hyperlink" Target="http://www.google.com/" TargetMode="External"/><Relationship Id="rId24" Type="http://schemas.openxmlformats.org/officeDocument/2006/relationships/hyperlink" Target="https://www.eletrogate.com/resistor-120r-1-4w-10-unidades?utm_source=Site&amp;utm_medium=GoogleMerchant&amp;utm_campaign=GoogleMerchant&amp;gad_source=4&amp;gad_campaignid=20223015315&amp;gbraid=0AAAAADqxjs9FhwnDpt4CTcBwG4OhMRu6y&amp;gclid=CjwKCAjw_-3GBhAYEiwAjh9fUK2ScUcboSD1G6b59uYaSbg6GPQHima9mQq0j8VjPyG7QYOCIWmo8BoCUKwQAvD_BwE" TargetMode="External"/><Relationship Id="rId40" Type="http://schemas.openxmlformats.org/officeDocument/2006/relationships/hyperlink" Target="https://www.magazineluiza.com.br/tubinho-de-solda-estanho-63x37-10mm-azul-22g-fluxo-ra-cobix/p/eg1gf6hah9/in/pepc/?seller_id=swellmark&amp;srsltid=AfmBOoqWppamx_78Nwtsnx63d_wCvTRej80TI5nixYhghcIHYirsUHgCy3k" TargetMode="External"/><Relationship Id="rId45" Type="http://schemas.openxmlformats.org/officeDocument/2006/relationships/hyperlink" Target="https://www.mercadolivre.com.br/fio-jumper-2x050mm--rolo-com-500-metros--brancopreto/up/MLBU3386299283?pdp_filters=item_id:MLB5649147088" TargetMode="External"/><Relationship Id="rId66" Type="http://schemas.openxmlformats.org/officeDocument/2006/relationships/hyperlink" Target="https://www.usinainfo.com.br/conversores-de-sinal/conversor-usb-para-rs485-ch340-com-saida-5v-zk-u485-8333.html?srsltid=AfmBOoqcdvJdsWyULW1BU1aakO7keZFkR0UFre_pm6TCXyHXa2x7_xtF" TargetMode="External"/><Relationship Id="rId87" Type="http://schemas.openxmlformats.org/officeDocument/2006/relationships/hyperlink" Target="https://www.eletrogate.com/jumpers-macho-macho-65-unidades?utm_source=Site&amp;utm_medium=GoogleMerchant&amp;utm_campaign=GoogleMerchant&amp;srsltid=AfmBOoq4oUTqsGfWflmfNjU2HscW3hi3dK3r-k2JnRx36mYdfiY-Kv1nFv4" TargetMode="External"/><Relationship Id="rId110" Type="http://schemas.openxmlformats.org/officeDocument/2006/relationships/hyperlink" Target="https://www.mercadolivre.com.br/sensor-de-temperatura-ds18b20-a-prova-dagua-1-metro/up/MLBU1401994979?pdp_filters=item_id:MLB1462984049" TargetMode="External"/><Relationship Id="rId61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2" Type="http://schemas.openxmlformats.org/officeDocument/2006/relationships/hyperlink" Target="https://www.arducore.com.br/jumpers-femea-femea-x40-unidades-20cm?utm_source=Site&amp;utm_medium=GoogleMerchant&amp;utm_campaign=GoogleMerchant&amp;gad_source=4&amp;gad_campaignid=20396558769&amp;gbraid=0AAAAACrKHfeIk9Y3LbmfhbnWwKtZLFYG6&amp;gclid=Cj0KCQjw3OjGBhDYARIsADd-uX7iMEr_bB_-_Z5syCKBh6m9SeFyWBlKdHOmR6J8_56HD-Ks6IoFJu4aAlrBEALw_wcB" TargetMode="External"/><Relationship Id="rId19" Type="http://schemas.openxmlformats.org/officeDocument/2006/relationships/hyperlink" Target="https://www.baudaeletronica.com.br/produto/resistor-120r-5-14w.html?utm_source=Site&amp;utm_medium=GoogleMerchant&amp;utm_campaign=GoogleMerchant&amp;gad_source=4&amp;gad_campaignid=20292490697&amp;gbraid=0AAAAADonfB1aIj-umI0mhi8qVITJBlClA&amp;gclid=CjwKCAjw_-3GBhAYEiwAjh9fUGryCpSbw7b2Lx3VMDmHIulRJkN43bdZ-QNw9diWRpgkqm290UyBhxoC4YUQAvD_BwE" TargetMode="External"/><Relationship Id="rId14" Type="http://schemas.openxmlformats.org/officeDocument/2006/relationships/hyperlink" Target="https://www.plenobras.com.br/646a59a3d496504d21ddf935/cabo-cobre-isolado-pvce-105g-300v-v-1-par-250-mm2-instrumentacao-blindado-preto-nbr-10300-cip105g300v2x250m?srsltid=AfmBOooGMJM9N321gf2IG1sRjVnT-4ml6KUTT5L0sAW_gzZcEO3Fg3FHE7k" TargetMode="External"/><Relationship Id="rId30" Type="http://schemas.openxmlformats.org/officeDocument/2006/relationships/hyperlink" Target="https://www.tecnotronics.com.br/display-lcd-20x4-alfanumerico-interface-com-serial-i2c.html?gad_source=1&amp;gad_campaignid=23007836530&amp;gbraid=0AAAAADMyuI3QNAu6k5KahSkxphVNoNo9a&amp;gclid=CjwKCAjw89jGBhB0EiwA2o1OnwYyBlcR0QqNjyswcj0jIjMykdWoo3wUIjCoxEZJc8qXmCr0bJQzDhoCNPYQAvD_BwE" TargetMode="External"/><Relationship Id="rId35" Type="http://schemas.openxmlformats.org/officeDocument/2006/relationships/hyperlink" Target="https://www.mercadolivre.com.br/fio-estanho-para-soldagem-kit-3-1mm-25g-solda-eletronicos/up/MLBU2939827735?pdp_filters=item_id:MLB5250570834" TargetMode="External"/><Relationship Id="rId56" Type="http://schemas.openxmlformats.org/officeDocument/2006/relationships/hyperlink" Target="https://www.mercadolivre.com.br/botao-pulsador-faceado-1na-1nf-la39j-amarelo-siemens/up/MLBU1403438108?pdp_filters=item_id:MLB1285956577" TargetMode="External"/><Relationship Id="rId77" Type="http://schemas.openxmlformats.org/officeDocument/2006/relationships/hyperlink" Target="https://shopee.com.br/product/351550302/8062318299?gads_t_sig=VTJGc2RHVmtYMTlxTFVSVVRrdENkWVp3RFo3Mkw5czd4Z0hzdEF1WVFibForaUY5RHRKeWErWWlmd3EzVVY2dlhSNU5IZ1YzcVdCQ0RYdTZCYzNNOUNsaS9hYkNPNDUzQU05TFJPU1hiQ1d1UmRTOU5Ud3FnUUNINUwyK0RRdVhkeEdnd25ORWlsalZMUzB6VUFHUUlRPT0" TargetMode="External"/><Relationship Id="rId100" Type="http://schemas.openxmlformats.org/officeDocument/2006/relationships/hyperlink" Target="https://shopee.com.br/product/595700623/22793883974?gads_t_sig=VTJGc2RHVmtYMTlxTFVSVVRrdENkVHQ3ZkZSUTMrR3pBWmZZNzdrcnRBMmhXdDB3R1QvOUhMZlFnd2QwTVlkMU0rYjZocUZhNnord1NId1d6M1VLY0t2MmNTdEplVmJVdWZIZzN4RmdRQ2J3bHpFL3E0bU9abEZhaVF4Z24wVnl1TjcyRG1vU2Q2TnM4Q2t3UGhBYm5RPT0" TargetMode="External"/><Relationship Id="rId105" Type="http://schemas.openxmlformats.org/officeDocument/2006/relationships/hyperlink" Target="https://www.casadoresistor.com.br/sensor-de-corrente-n-o-invasivo-sct013-100a?gad_source=4&amp;gad_campaignid=22313635597&amp;gbraid=0AAAAACPTU44uA8i18zbVQqnxe3I3fTuzf&amp;gclid=CjwKCAjw_-3GBhAYEiwAjh9fUMyti4n9t0BcaTiUdfHtZGColWAa7K-oLzCoflZBd8Z3b6Fx0ciddRoCIxIQAvD_BwE" TargetMode="External"/><Relationship Id="rId8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51" Type="http://schemas.openxmlformats.org/officeDocument/2006/relationships/hyperlink" Target="https://www.ribeiro.ind.br/botao-imp-vd-monob-1na-1nf-la39j-11bg?srsltid=AfmBOorobz8F03pXpeNSBcO_pQ6A3zvy3doy7C7Tl2j_1MbpEYyh_LhpRD8" TargetMode="External"/><Relationship Id="rId72" Type="http://schemas.openxmlformats.org/officeDocument/2006/relationships/hyperlink" Target="https://www.santil.com.br/fita-isolante-liquida-50g/p?gad_source=1&amp;gad_campaignid=20630900380&amp;gbraid=0AAAAAD7srsa4XkenPGV2801hhxuCeqenK&amp;gclid=CjwKCAjw89jGBhB0EiwA2o1On9Ju0xfC4yBcx4dgVXwyPp6Qb0dUVRDY816G2aym7dLoYT81kjoQIhoCJBgQAvD_BwE" TargetMode="External"/><Relationship Id="rId93" Type="http://schemas.openxmlformats.org/officeDocument/2006/relationships/hyperlink" Target="https://shopee.com.br/product/277189279/11438836069?gads_t_sig=VTJGc2RHVmtYMTlxTFVSVVRrdENkVHQ3ZkZSUTMrR3pBWmZZNzdrcnRBMVQ1NkIwekJJQ29mV1pmcm4wdHVCOGo3YVplZEdjcU9kemlYWnBmVGFYTk5LK21BMjMva0lRZHpxeFYrRzM2ZTFFVnBQU3ljbWRjVmJCVS9SSEJYb0ltcCtFaTRLV0xLSXJ4NkVtbHk2SGR3PT0" TargetMode="External"/><Relationship Id="rId98" Type="http://schemas.openxmlformats.org/officeDocument/2006/relationships/hyperlink" Target="https://www.cinestec.com.br/placa-padrao-ilha-desligada-07-x-09cm?srsltid=AfmBOorzMj0tKRvj5WgUr16i8pSu-3JthWYmXprTexg6K4AjPC6NnYrspVk" TargetMode="External"/><Relationship Id="rId3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5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46" Type="http://schemas.openxmlformats.org/officeDocument/2006/relationships/hyperlink" Target="https://www.mercadolivre.com.br/knob-baquelite-padrao-boss-com-parafuso-195mm-mfa01/up/MLBU3260074515?pdp_filters=item_id:MLB5463165830" TargetMode="External"/><Relationship Id="rId67" Type="http://schemas.openxmlformats.org/officeDocument/2006/relationships/hyperlink" Target="https://www.mercadolivre.com.br/conversor-usbrs485-modulo-de-comunicacao--plc/up/MLBU1431755932?pdp_filters=item_id:MLB2815747275" TargetMode="External"/><Relationship Id="rId20" Type="http://schemas.openxmlformats.org/officeDocument/2006/relationships/hyperlink" Target="https://www.eletrogate.com/resistor-4k7-1-4w-10-unidades?utm_source=Site&amp;utm_medium=GoogleMerchant&amp;utm_campaign=GoogleMerchant&amp;gad_source=4&amp;gad_campaignid=20223015315&amp;gbraid=0AAAAADqxjs9FhwnDpt4CTcBwG4OhMRu6y&amp;gclid=CjwKCAjw_-3GBhAYEiwAjh9fUP0z-rE4_6WdOyBOBGDuopqxYxJKGKEeh5TjdvFWFXnu2WQIwWNjfxoCN28QAvD_BwE" TargetMode="External"/><Relationship Id="rId41" Type="http://schemas.openxmlformats.org/officeDocument/2006/relationships/hyperlink" Target="https://www.casadoresistor.com.br/espacador-nylon-femea-femea-m3x10mm-branco" TargetMode="External"/><Relationship Id="rId62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3" Type="http://schemas.openxmlformats.org/officeDocument/2006/relationships/hyperlink" Target="https://produto.mercadolivre.com.br/MLB-4598539690-kit-cabo-jumper-fmea-x-fmea-20cm-40-und-arduino-protoboard-_JM?matt_tool=18956390&amp;utm_source=google_shopping&amp;utm_medium=organic" TargetMode="External"/><Relationship Id="rId88" Type="http://schemas.openxmlformats.org/officeDocument/2006/relationships/hyperlink" Target="https://www.mercadolivre.com.br/kit-jumper-x40-macho-x-macho-premium-20cm/p/MLB37482649?matt_tool=18956390&amp;utm_source=google_shopping&amp;utm_medium=organic&amp;pdp_filters=item_id:MLB4818383854" TargetMode="External"/><Relationship Id="rId111" Type="http://schemas.openxmlformats.org/officeDocument/2006/relationships/hyperlink" Target="https://www.viewtech.ind.br/controlador-logico-programavel-weg-clp-clic02-24vcc-20vr?srsltid=AfmBOoqfElU95RNVcP307KN2DHUhX740OfzHmeerlpQZ82TW8nqZUpHGWow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1" Type="http://schemas.openxmlformats.org/officeDocument/2006/relationships/hyperlink" Target="https://www.baudaeletronica.com.br/produto/resistor-4k7-5-14w.html?utm_source=Site&amp;utm_medium=GoogleMerchant&amp;utm_campaign=GoogleMerchant&amp;gad_source=4&amp;gad_campaignid=20292490697&amp;gbraid=0AAAAADonfB1aIj-umI0mhi8qVITJBlClA&amp;gclid=CjwKCAjw_-3GBhAYEiwAjh9fUNLMHgmtcbSBrNcaayNUgcL17p6W8BadMg-09E0imRsapUcax-NbJxoCvH4QAvD_BwE" TargetMode="External"/><Relationship Id="rId42" Type="http://schemas.openxmlformats.org/officeDocument/2006/relationships/hyperlink" Target="https://www.mercadolivre.com.br/espacador-nylon-diametro-6-x-10mm-rosca-m3-pct-com-50-pecas/up/MLBU1961816765" TargetMode="External"/><Relationship Id="rId47" Type="http://schemas.openxmlformats.org/officeDocument/2006/relationships/hyperlink" Target="https://www.multcomercial.com.br/knob-rotativo-com-parafuso-preto-kp-02p-scott.html?srsltid=AfmBOopy33v5akd8tOd2axjqwRIxZllTCjHERJTW0UzdJM2XNHkF2t4nYOQ" TargetMode="External"/><Relationship Id="rId63" Type="http://schemas.openxmlformats.org/officeDocument/2006/relationships/hyperlink" Target="https://www.mercadolivre.com.br/caixa-de-passagem-hermetica-branca-190x140x70mm-ip66-brbox/p/MLB26380286" TargetMode="External"/><Relationship Id="rId68" Type="http://schemas.openxmlformats.org/officeDocument/2006/relationships/hyperlink" Target="https://shopee.com.br/product/375037417/20869209865?gads_t_sig=VTJGc2RHVmtYMTlxTFVSVVRrdENkVHQ3ZkZSUTMrR3pBWmZZNzdrcnRBM2J5bmo0RmhiSHNXMVA0NHpwcnZyL0lvblVlNmRiak1ISGhJb0lOYkpjN09LeENpNk5yYUwxR25kZnFIYmRWWTRvcGNPdDcxTVlqT1YvNVgxN2hpYUozMDY0cVNweUpMdXVVVDJkdGNXdjRnPT0&amp;gad_source=4&amp;gad_campaignid=20824904870&amp;gbraid=0AAAAACoEtRmbgQJtRaxUe4IeOmnUWuKWp&amp;gclid=CjwKCAjw89jGBhB0EiwA2o1On2nXdlgP3_0nOixytHDNJ1wcMFZoVGl8b9JV3LErCtA5KsYPgE49dhoCc84QAvD_BwE" TargetMode="External"/><Relationship Id="rId84" Type="http://schemas.openxmlformats.org/officeDocument/2006/relationships/hyperlink" Target="https://www.fornell.com.br/produtos/kit-de-cabos-jumper-macho-x-femea-20cm/?variant=111519234&amp;pf=mc&amp;srsltid=AfmBOoqxp5DrWwSiyUzQUbP3-Q6p-so0lxmR6-Dl1hSYs8up2RLPggduvpk" TargetMode="External"/><Relationship Id="rId89" Type="http://schemas.openxmlformats.org/officeDocument/2006/relationships/hyperlink" Target="https://www.arducore.com.br/jumpers-macho-macho-x40-unidades-20cm?utm_source=Site&amp;utm_medium=GoogleMerchant&amp;utm_campaign=GoogleMerchant&amp;gad_source=4&amp;gad_campaignid=20396558769&amp;gbraid=0AAAAACrKHfeIk9Y3LbmfhbnWwKtZLFYG6&amp;gclid=Cj0KCQjw3OjGBhDYARIsADd-uX7h1w0hfzwIMibIK7cUKtFbi7ohW-Ccb8vJuQsxr61D6sp93aZCqCkaAvbtEALw_wcB" TargetMode="External"/><Relationship Id="rId112" Type="http://schemas.openxmlformats.org/officeDocument/2006/relationships/hyperlink" Target="https://www.mercadolivre.com.br/controlador-logico-clic02-clw02-20vrd-3rd-24vcc-11268449/up/MLBU2886663265?pdp_filters=item_id:MLB5213852204" TargetMode="External"/><Relationship Id="rId16" Type="http://schemas.openxmlformats.org/officeDocument/2006/relationships/hyperlink" Target="https://www.smartcomponentes.com/produto/protoboard-400-pontos.html?utm_source=Site&amp;utm_medium=GoogleMerchant&amp;utm_campaign=GoogleMerchant&amp;gad_source=1&amp;gad_campaignid=20016103399&amp;gbraid=0AAAAApKVtk8FKTV5Isxw7okQYChW4r8_-&amp;gclid=CjwKCAjw_-3GBhAYEiwAjh9fUDhaIchprGuOCUPVS2e6Or9jnJ_sTux8zoDIYm8PjjpRm15AjDTaWhoC_hYQAvD_BwE" TargetMode="External"/><Relationship Id="rId107" Type="http://schemas.openxmlformats.org/officeDocument/2006/relationships/hyperlink" Target="https://www.usinainfo.com.br/sensor-de-nivel-arduino/sensor-de-nivel-submersivel-para-liquidos-rs485-sonda-inox-304-3m-com-cabo-de-5m-9120.html?gad_source=4&amp;gad_campaignid=17181939790&amp;gbraid=0AAAAAD4ryP_9o8pTrnCPa2EcpO0b88nYo&amp;gclid=CjwKCAjw_-3GBhAYEiwAjh9fULMHofjia-w_zj9chCeVx4CDGIqkIRPw19dqTjVLX_f2KXiSPjMAdRoC-lkQAvD_BwE" TargetMode="External"/><Relationship Id="rId11" Type="http://schemas.openxmlformats.org/officeDocument/2006/relationships/hyperlink" Target="https://www.jccabos.com.br/oi315c8mg-cabo-coaxial-rg6-malha-95-rolo-300-metros-megatron?gad_source=1&amp;gad_campaignid=20771949283&amp;gbraid=0AAAAADLaxzNtRva4CX2jkdgEdiJpCJGQ7&amp;gclid=Cj0KCQjw267GBhCSARIsAOjVJ4FOoCEDfvIcXJwO47wRo0Mwsu7Gdoh6YBwHbxZN9dmUfXlwBZ8mv1UaAoa1EALw_wcB" TargetMode="External"/><Relationship Id="rId32" Type="http://schemas.openxmlformats.org/officeDocument/2006/relationships/hyperlink" Target="https://curtocircuito.com.br/display-lcd-20x4-backlight-azul-i2c.html?utm_term=&amp;utm_campaign=&amp;utm_source=adwords&amp;utm_medium=ppc&amp;hsa_acc=7016354091&amp;hsa_cam=20564613353&amp;hsa_grp=152310099103&amp;hsa_ad=674376925417&amp;hsa_src=g&amp;hsa_tgt=pla-384382900750&amp;hsa_kw=&amp;hsa_mt=&amp;hsa_net=adwords&amp;hsa_ver=3&amp;gad_source=4&amp;gad_campaignid=20564613353&amp;gbraid=0AAAAADLsNZ0773jOHW9RbciWOM2ZubAdd&amp;gclid=CjwKCAjw89jGBhB0EiwA2o1On4SvFkAwVsYtEGuchzPW9rEkTt9iwEYn9038VCxyuI1GbLKEI3cmhxoCQN8QAvD_BwE" TargetMode="External"/><Relationship Id="rId37" Type="http://schemas.openxmlformats.org/officeDocument/2006/relationships/hyperlink" Target="https://www.barataodosul.com.br/filtro-supressor-de-ruido-f-sr-para-corrente-alternada-24-240vca-10154-sibratec?utm_source=google&amp;utm_medium=Shopping&amp;utm_campaign=filtro-supressor-de-ruido-f-sr-para-corrente-alternada-24-240vca-10154-sibratec&amp;inStock&amp;gad_source=4&amp;gad_campaignid=21294307890&amp;gbraid=0AAAAAp1t8UVDmu2VmASSlWz1mIoMPPeLC&amp;gclid=CjwKCAjw89jGBhB0EiwA2o1On-eytuXTznN8utDG2xIeLIPahaZZgQKCvUCUxaAk9fMmpgSEIBlztRoCwCMQAvD_BwE" TargetMode="External"/><Relationship Id="rId53" Type="http://schemas.openxmlformats.org/officeDocument/2006/relationships/hyperlink" Target="https://www.mercadolivre.com.br/botao-pulsador-faceado-1na-1nf-la39j-amarelo-siemens/up/MLBU1403438108?pdp_filters=item_id:MLB1285956577" TargetMode="External"/><Relationship Id="rId58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74" Type="http://schemas.openxmlformats.org/officeDocument/2006/relationships/hyperlink" Target="https://www.nikkeypar.com.br/fita-isolante-liquida-preta-50g-quimatic-tapmatic-p46719" TargetMode="External"/><Relationship Id="rId79" Type="http://schemas.openxmlformats.org/officeDocument/2006/relationships/hyperlink" Target="https://www.leroymerlin.com.br/fonte-de-alimentacao-24v-3a-p4-fonte-24v-3a-bivolt-110-240v_1571766897?srsltid=AfmBOopwC-Gk4_Jpyz70tcy5Wibqr-eJPaEidCV6QdEj3cT_eC3jCdDKR1A" TargetMode="External"/><Relationship Id="rId102" Type="http://schemas.openxmlformats.org/officeDocument/2006/relationships/hyperlink" Target="https://www.mercadolivre.com.br/kit-10-conector-db9-macho-9-pinos--10-capas-rs232-serial/up/MLBU2882293820?pdp_filters=item_id:MLB5207064260" TargetMode="External"/><Relationship Id="rId5" Type="http://schemas.openxmlformats.org/officeDocument/2006/relationships/hyperlink" Target="https://www.mercadolivre.com.br/cabo-shield-blindado-2-vias-2x1mm-para-sinal-100mts/up/MLBU1468616041" TargetMode="External"/><Relationship Id="rId90" Type="http://schemas.openxmlformats.org/officeDocument/2006/relationships/hyperlink" Target="https://www.crescerengenharia.com/product-page/modulo-io-4x4-12c" TargetMode="External"/><Relationship Id="rId95" Type="http://schemas.openxmlformats.org/officeDocument/2006/relationships/hyperlink" Target="https://www.smartcomponentes.com/sensor-transmissor-de-temperatura-e-umidade-rs485-serial-modbus-rtu-xy-md02?utm_source=Site&amp;utm_medium=GoogleShopping&amp;utm_campaign=IntegracaoGoogle&amp;srsltid=AfmBOooj0Iemfbrlm5Erivbr2nngUOjCreT6Y2xqbhSA8--St9JB2RWjR6E" TargetMode="External"/><Relationship Id="rId22" Type="http://schemas.openxmlformats.org/officeDocument/2006/relationships/hyperlink" Target="https://www.casadoresistor.com.br/resistor-filme-carbono-carvao-cr25-1-4w-5-4k7?gad_source=4&amp;gad_campaignid=22313635597&amp;gbraid=0AAAAACPTU44uA8i18zbVQqnxe3I3fTuzf&amp;gclid=CjwKCAjw_-3GBhAYEiwAjh9fUCjuFVCNGX1QurrB2_jlG8D4RXDYXb4ZnX_KjISi4E_Ufwi4ZhSChxoC-Z8QAvD_BwE" TargetMode="External"/><Relationship Id="rId27" Type="http://schemas.openxmlformats.org/officeDocument/2006/relationships/hyperlink" Target="https://www.mercadolivre.com.br/cabo-shield-blindado-2-vias-2x1mm-para-sinal-100mts/up/MLBU1468616041" TargetMode="External"/><Relationship Id="rId43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48" Type="http://schemas.openxmlformats.org/officeDocument/2006/relationships/hyperlink" Target="https://www.santil.com.br/abracadeira-nylon-t18r-100x250mm-pacote-100-preto-hellermann/p?gad_source=1&amp;gad_campaignid=20630900380&amp;gbraid=0AAAAAD7srsauPq1ImyUhMz_kKDmzn5VjJ&amp;gclid=Cj0KCQjw267GBhCSARIsAOjVJ4GXGepPo4u7kt8Pjad7pt5zVySzk4arBHoKt8CGHuP6_RHjYbSzhCYaAsSoEALw_wcB" TargetMode="External"/><Relationship Id="rId64" Type="http://schemas.openxmlformats.org/officeDocument/2006/relationships/hyperlink" Target="https://www.distribuidorahg.com.br/caixa-de-passagem-eletrica-190x140x70-sobrepor-pvc-brbo4?utm_source=Site&amp;utm_medium=GoogleMerchant&amp;utm_campaign=GoogleMerchant&amp;gad_source=1&amp;gad_campaignid=20789756799&amp;gbraid=0AAAAAqVJmSP3oZPSxlHaFnl7qorbH1fjs&amp;gclid=CjwKCAjw89jGBhB0EiwA2o1On9Vj3pGm9lgwP655Gpd59Efvze9yxoXI6QoBR42kp9devKEREjhPzxoCf7UQAvD_BwE" TargetMode="External"/><Relationship Id="rId69" Type="http://schemas.openxmlformats.org/officeDocument/2006/relationships/hyperlink" Target="https://www.usinainfo.com.br/conversores-de-sinal/conversor-rs232-para-rs485-sintechi-passivo-stm485-h-5182.html?srsltid=AfmBOooTAZpaxOOapSkCPDlIsM5iHxnHN9fdhyThCsRE7018qol8alze" TargetMode="External"/><Relationship Id="rId113" Type="http://schemas.openxmlformats.org/officeDocument/2006/relationships/hyperlink" Target="https://www.refercomercio.com.br/comandos-eletricos/reles/controlador-logico-programavel-weg-clp-clic02-24vcc-20vr?parceiro=5922&amp;srsltid=AfmBOop0xT7a1KEuh7rNT9ctz37owkZvUrRlnJtkh7P4WL_hSLNhSIa2Pk0" TargetMode="External"/><Relationship Id="rId80" Type="http://schemas.openxmlformats.org/officeDocument/2006/relationships/hyperlink" Target="https://produto.mercadolivre.com.br/MLB-3702259590-fonte-de-alimentaco-24v-3a-p4-fonte-24v-3a-bivolt-110-240v-_JM" TargetMode="External"/><Relationship Id="rId85" Type="http://schemas.openxmlformats.org/officeDocument/2006/relationships/hyperlink" Target="https://www.mercadolivre.com.br/40-cabos-jumper-20cm-macho-x-femea/up/MLBU1715735778?pdp_filters=item_id:MLB1735287970" TargetMode="External"/><Relationship Id="rId12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17" Type="http://schemas.openxmlformats.org/officeDocument/2006/relationships/hyperlink" Target="https://www.arducore.com.br/protoboard-400-pontos?utm_source=Site&amp;utm_medium=GoogleMerchant&amp;utm_campaign=GoogleMerchant&amp;gad_source=1&amp;gad_campaignid=20396558769&amp;gbraid=0AAAAACrKHfcYEUbYjtevk70BJu8ygkO1f&amp;gclid=CjwKCAjw_-3GBhAYEiwAjh9fUGK_ZL-MFlQln8N10mz_cEDlckz-6XZJhR3Fhe-99BKkQmuG0TokuBoCPxIQAvD_BwE" TargetMode="External"/><Relationship Id="rId33" Type="http://schemas.openxmlformats.org/officeDocument/2006/relationships/hyperlink" Target="http://www.google.com/" TargetMode="External"/><Relationship Id="rId38" Type="http://schemas.openxmlformats.org/officeDocument/2006/relationships/hyperlink" Target="https://produto.mercadolivre.com.br/MLB-3778972826-filtro-supressor-ruido-f-sr-vca-24-240vca-2-pecas-_JM?matt_tool=44747869&amp;matt_internal_campaign_id=&amp;matt_word=&amp;matt_source=google&amp;matt_campaign_id=22603531439&amp;matt_ad_group_id=183641039649&amp;matt_match_type=&amp;matt_network=g&amp;matt_device=c&amp;matt_creative=758138322197&amp;matt_keyword=&amp;matt_ad_position=&amp;matt_ad_type=pla&amp;matt_merchant_id=109654657&amp;matt_product_id=MLB3778972826&amp;matt_product_partition_id=2424646252682&amp;matt_target_id=aud-1967156880386:pla-2424646252682&amp;cq_src=google_ads&amp;cq_cmp=22603531439&amp;cq_net=g&amp;cq_plt=gp&amp;cq_med=pla&amp;gad_source=4&amp;gad_campaignid=22603531439&amp;gbraid=0AAAAAD93qcA9J2dsGRrpGH50y6f4iggN9&amp;gclid=CjwKCAjw89jGBhB0EiwA2o1On1e57X71dNlgWpGWfClj4lKSmSKXjxvDkI_JyCNoq1XFtEglDFXKRxoCp30QAvD_BwE" TargetMode="External"/><Relationship Id="rId59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103" Type="http://schemas.openxmlformats.org/officeDocument/2006/relationships/hyperlink" Target="https://www.mercadolivre.com.br/kit-10-conector-db9-macho-9-pinos-com-10-capas-rs232-serial/up/MLBU1963221265?pdp_filters=item_id:MLB1751981398" TargetMode="External"/><Relationship Id="rId108" Type="http://schemas.openxmlformats.org/officeDocument/2006/relationships/hyperlink" Target="https://www.breletronica.com.br/sensor-de-temperatura-ds18b20-a-prova-dagua?utm_source=Site&amp;utm_medium=GoogleShopping&amp;utm_campaign=IntegracaoGoogle&amp;gad_source=4&amp;gad_campaignid=20944641502&amp;gbraid=0AAAAAquWLeEv-lV9ZuZWGB4K8SY0q32vB&amp;gclid=CjwKCAjw_-3GBhAYEiwAjh9fUICfKKv5TGnbuvzFn0r3OpSXMQsogawFW7zKUkIEhdOWjbYjAaxzqRoCSKgQAvD_BwE" TargetMode="External"/><Relationship Id="rId54" Type="http://schemas.openxmlformats.org/officeDocument/2006/relationships/hyperlink" Target="https://www.ribeiro.ind.br/botao-imp-vd-monob-1na-1nf-la39j-11bg?srsltid=AfmBOorobz8F03pXpeNSBcO_pQ6A3zvy3doy7C7Tl2j_1MbpEYyh_LhpRD8" TargetMode="External"/><Relationship Id="rId70" Type="http://schemas.openxmlformats.org/officeDocument/2006/relationships/hyperlink" Target="https://www.mercadolivre.com.br/conversor-sintechi-rs232-rs485-1200m-interface-serial-stm485/up/MLBU1976037776" TargetMode="External"/><Relationship Id="rId75" Type="http://schemas.openxmlformats.org/officeDocument/2006/relationships/hyperlink" Target="https://www.casadarobotica.com/fontes-conversores/fontes/fontes-chaveadas/fonte-dc-chaveada-5v-1a-plug-p4-bivolt?parceiro=3259&amp;srsltid=AfmBOoqkkpW-xHvRl5Exi4Wsp5AwEZLQTEt2uBlEW9JoV0bLxQwt0xcDXBM" TargetMode="External"/><Relationship Id="rId91" Type="http://schemas.openxmlformats.org/officeDocument/2006/relationships/hyperlink" Target="https://www.mercadolivre.com.br/modulo-lora-915mhz-100mw--lora-1276-v20/up/MLBU1962047493" TargetMode="External"/><Relationship Id="rId96" Type="http://schemas.openxmlformats.org/officeDocument/2006/relationships/hyperlink" Target="https://www.mercadolivre.com.br/sensor-de-temperatura-e-umidade-modbusrtu-rs485-xymd02/up/MLBU794459011?pdp_filters=item_id:MLB2724128337" TargetMode="External"/><Relationship Id="rId1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6" Type="http://schemas.openxmlformats.org/officeDocument/2006/relationships/hyperlink" Target="http://www.google.com/" TargetMode="External"/><Relationship Id="rId15" Type="http://schemas.openxmlformats.org/officeDocument/2006/relationships/hyperlink" Target="https://www.mercadolivre.com.br/cabo-instrumentacao-2x250mm-50m-blindado-50-metros/up/MLBU2718029309?pdp_filters=item_id:MLB5167929988" TargetMode="External"/><Relationship Id="rId23" Type="http://schemas.openxmlformats.org/officeDocument/2006/relationships/hyperlink" Target="https://www.casadoresistor.com.br/resistor-filme-carbono-carvao-cr25-1-4w-5-120o?gad_source=4&amp;gad_campaignid=22313635597&amp;gbraid=0AAAAACPTU44uA8i18zbVQqnxe3I3fTuzf&amp;gclid=CjwKCAjw_-3GBhAYEiwAjh9fUBIWWheiIzMLWv6FIW7-y-9hmECpdWa78jW0thm5cEdipH1FmwcDohoCH0sQAvD_BwE" TargetMode="External"/><Relationship Id="rId28" Type="http://schemas.openxmlformats.org/officeDocument/2006/relationships/hyperlink" Target="https://shopee.com.br/product/350953204/6480768779?gads_t_sig=VTJGc2RHVmtYMTlxTFVSVVRrdENkWVp3RFo3Mkw5czd4Z0hzdEF1WVFibUY4L082WE95c0hkZ1U2ekJlazFpVkRqR0Rpb3E1VnNDOXE1S1BGNnBJVzBUd3NMNnNlTDI3OWJvM09rOHh1dEtVRjN0MnNUS2dxY2RIcFYxOHpQd25zK2tjelR3NUdiUlVrVmJUeGcwcEpBPT0&amp;gad_source=1&amp;gad_campaignid=20824904870&amp;gbraid=0AAAAACoEtRlm00xqZHOr9Y5TVjgiiLER7&amp;gclid=CjwKCAjw89jGBhB0EiwA2o1On_Eaeq2lMRVD-YjnJmBfxm3FeYmB8FBbOIJ67cFaUYrybA5OLMisRBoCxK0QAvD_BwE" TargetMode="External"/><Relationship Id="rId36" Type="http://schemas.openxmlformats.org/officeDocument/2006/relationships/hyperlink" Target="https://www.mercadolivre.com.br/filtro-supressor-de-ruido-f-sr-24-240vca/up/MLBU2844838540?pdp_filters=item_id:MLB3914287457" TargetMode="External"/><Relationship Id="rId49" Type="http://schemas.openxmlformats.org/officeDocument/2006/relationships/hyperlink" Target="https://www.solucaocabos.com.br/abracadeira-nylon-t18r-100-x-2-5-mm-hellermann-100uni/p?idsku=12000&amp;gad_source=1&amp;gad_campaignid=19832634360&amp;gbraid=0AAAAAolx81FQSzCFtYWi_ujl1z2vHnH6L&amp;gclid=Cj0KCQjw267GBhCSARIsAOjVJ4F73vlwX6dSYlAM3sQsged_-OOM7KiSxdLtORjAnTHCqLA-ZZiMpTEaAmhGEALw_wcB" TargetMode="External"/><Relationship Id="rId57" Type="http://schemas.openxmlformats.org/officeDocument/2006/relationships/hyperlink" Target="https://www.casadoresistor.com.br/cabinho-0-20mm2-azul-cobre-estanhado?gad_source=1&amp;gad_campaignid=22313635597&amp;gbraid=0AAAAACPTU47OHgW1jYAjkWqVpBRaqsck3&amp;gclid=Cj0KCQjw267GBhCSARIsAOjVJ4GXK1RmaTTo9Rr19hCD7HpeoW6Cif8PEwTqIdyKBpwGb40PnaRF4-4aAtjLEALw_wcB" TargetMode="External"/><Relationship Id="rId106" Type="http://schemas.openxmlformats.org/officeDocument/2006/relationships/hyperlink" Target="http://www.pontodaeletronica.com.br/sensor-de-corrente-n-o-invasivo-100a-sct-013-arduino-pic-gng.html?gad_source=4&amp;gad_campaignid=19959787193&amp;gbraid=0AAAAAoWdpe28_Mr5NvFKLQbfNAKncVVL5&amp;gclid=CjwKCAjw_-3GBhAYEiwAjh9fUGSjM8vdxm9scjxha-YH3KWX9srn09eWTNmPNH3BgkT-vW43GFh0hBoCe90QAvD_BwE" TargetMode="External"/><Relationship Id="rId114" Type="http://schemas.openxmlformats.org/officeDocument/2006/relationships/printerSettings" Target="../printerSettings/printerSettings5.bin"/><Relationship Id="rId10" Type="http://schemas.openxmlformats.org/officeDocument/2006/relationships/hyperlink" Target="https://www.santil.com.br/cabo-coaxial-75-ohms-rg-6-95-branco-para-net-vendido-por-metro-megatron/p?gad_source=1&amp;gad_campaignid=20630900380&amp;gbraid=0AAAAAD7srsauPq1ImyUhMz_kKDmzn5VjJ&amp;gclid=Cj0KCQjw267GBhCSARIsAOjVJ4G2WJztnIaOdS8YQlygdbiQfgNNjQ2Y854swexZoHsfVdPwndUK28YaAmnqEALw_wcB" TargetMode="External"/><Relationship Id="rId31" Type="http://schemas.openxmlformats.org/officeDocument/2006/relationships/hyperlink" Target="http://www.google.com/" TargetMode="External"/><Relationship Id="rId44" Type="http://schemas.openxmlformats.org/officeDocument/2006/relationships/hyperlink" Target="https://www.policabos.com.br/telefonicos/fio-jumper?variant_id=1739&amp;srsltid=AfmBOor-GYii07RVVhnFRU68CnTnnHinDiEwJQzZsHPkhHWkgPljxgEL6pA" TargetMode="External"/><Relationship Id="rId52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60" Type="http://schemas.openxmlformats.org/officeDocument/2006/relationships/hyperlink" Target="https://www.cirilocabos.com.br/cabinho-flexivel-300v-70c-0-20-mm-24-awg-rolo-com-100-m/p?srsltid=AfmBOoo3B-0SdXCQRRLZygMeh1PtZK7SAU78yuPFTEYJaycRA9aSl1Mm" TargetMode="External"/><Relationship Id="rId65" Type="http://schemas.openxmlformats.org/officeDocument/2006/relationships/hyperlink" Target="https://www.mercadolivre.com.br/caixa-de-passagem-eletrica-190x140x70-sobrepor-pvc-brbo4/up/MLBU3268495566" TargetMode="External"/><Relationship Id="rId73" Type="http://schemas.openxmlformats.org/officeDocument/2006/relationships/hyperlink" Target="https://www.antferramentas.com.br/fita-isolante-liquida-preta-50g-quimatic-bp1/p?idsku=2005834&amp;utm_source=google&amp;utm_medium=cpc&amp;gad_source=1&amp;gad_campaignid=17347451744&amp;gbraid=0AAAAADqQ7EXR4Fo_Fz34ngp3R2XHOp6Lf&amp;gclid=CjwKCAjw89jGBhB0EiwA2o1On99pfoPiSgVXmg8khLJisz4Z2P7silAUgkZOBGJlTbWQd-6zMfqzLhoCbVcQAvD_BwE" TargetMode="External"/><Relationship Id="rId78" Type="http://schemas.openxmlformats.org/officeDocument/2006/relationships/hyperlink" Target="https://www.kabum.com.br/produto/570713/fonte-de-alimentacao-24v-3a-p4-fonte-24v-3a-bivolt-110-240v?srsltid=AfmBOooIETMPp6lzGPwjSCDLl82HzU66NValEewqQqnoz8aJL6rJJnux7Oo" TargetMode="External"/><Relationship Id="rId81" Type="http://schemas.openxmlformats.org/officeDocument/2006/relationships/hyperlink" Target="https://www.smartcomponentes.com/produto/kit-jumper-femea-femea-20cm-10-pecas.html?utm_source=Site&amp;utm_medium=GoogleMerchant&amp;utm_campaign=GoogleMerchant&amp;gad_source=4&amp;gad_campaignid=20016103399&amp;gbraid=0AAAAApKVtk9f7aL3rbn13z2YD8hiQSTvn&amp;gclid=Cj0KCQjw3OjGBhDYARIsADd-uX479is5qlvGvmVX9q0p3kZD-RCTvzinksHTTaeGhphqoA56iUgYIPcaAs5YEALw_wcB" TargetMode="External"/><Relationship Id="rId86" Type="http://schemas.openxmlformats.org/officeDocument/2006/relationships/hyperlink" Target="https://www.arducore.com.br/kit-jumpers-macho-femea-x40-unidades-20cm?utm_source=Site&amp;utm_medium=GoogleMerchant&amp;utm_campaign=GoogleMerchant&amp;gad_source=4&amp;gad_campaignid=20396558769&amp;gbraid=0AAAAACrKHfeIk9Y3LbmfhbnWwKtZLFYG6&amp;gclid=Cj0KCQjw3OjGBhDYARIsADd-uX7OlcVYsbvCZQCtbKnBB4PsG3PLUloBtjztal8QYY9Adkxzd_7WG2waAt9dEALw_wcB" TargetMode="External"/><Relationship Id="rId94" Type="http://schemas.openxmlformats.org/officeDocument/2006/relationships/hyperlink" Target="https://www.lebiscuit.com.br/transmissor-de-temperatura-e-umidade-rs485-modbus-tru-2017057090/p?idsku=879531&amp;srsltid=AfmBOoqkcEEECYzSSBkGO5Gkg2N2r-ISjyofv67v4opNP3a5GDfdCQonM0k" TargetMode="External"/><Relationship Id="rId99" Type="http://schemas.openxmlformats.org/officeDocument/2006/relationships/hyperlink" Target="https://curtocircuito.com.br/placa-de-circuito-impresso-ilhada-de-fibra-de-vidro-7x9-cm.html?srsltid=AfmBOooxdTK_yuOHzQSJehJxZEqec5fOyifG4yS-8KmhfqWfGDW0U-EUqWc" TargetMode="External"/><Relationship Id="rId101" Type="http://schemas.openxmlformats.org/officeDocument/2006/relationships/hyperlink" Target="https://www.smartcomponentes.com/produto/conector-db9-macho-rs232-serial-capa-curta-cinza-10-pecas?utm_source=Site&amp;utm_medium=GoogleMerchant&amp;utm_campaign=GoogleMerchant&amp;gad_source=4&amp;gad_campaignid=20016103399&amp;gbraid=0AAAAApKVtk8oZ86mjLgBJH0dfXaNfa5kU&amp;gclid=CjwKCAjw_-3GBhAYEiwAjh9fUMX3fS1JSPlqRiu7Zfzg3t2dZNkAHSl0ze0O_G-MEu8X4AIx6YGpmBoCMnkQAvD_BwE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https://www.mercadolivre.com.br/cabo-coaxial-rg6-75ohm-95-malha-megatron-rl-100mts/p/MLB28082626?pdp_filters=item_id%3AMLB5472742842&amp;from=gshop&amp;matt_tool=31485049&amp;matt_internal_campaign_id=&amp;matt_word=&amp;matt_source=google&amp;matt_campaign_id=22090354244&amp;matt_ad_group_id=173090555756&amp;matt_match_type=&amp;matt_network=g&amp;matt_device=c&amp;matt_creative=727882729101&amp;matt_keyword=&amp;matt_ad_position=&amp;matt_ad_type=pla&amp;matt_merchant_id=735098660&amp;matt_product_id=MLB28082626-product&amp;matt_product_partition_id=2392713579061&amp;matt_target_id=aud-1967156880386:pla-2392713579061&amp;cq_src=google_ads&amp;cq_cmp=22090354244&amp;cq_net=g&amp;cq_plt=gp&amp;cq_med=pla&amp;gad_source=1&amp;gad_campaignid=22090354244&amp;gbraid=0AAAAAD93qcDTmdYy4CT-H3Dy0rNT37BAT&amp;gclid=Cj0KCQjw267GBhCSARIsAOjVJ4GwPUzwciVQ1Eg1Ts1yHMraD7S--VUyUEQF8-l7P05OrNZPbaqAUP8aAn8PEALw_wcB" TargetMode="External"/><Relationship Id="rId13" Type="http://schemas.openxmlformats.org/officeDocument/2006/relationships/hyperlink" Target="https://www.mercadolivre.com.br/fio-jumper-2x050mm--rolo-com-500-metros--brancopreto/up/MLBU3386299283?pdp_filters=item_id:MLB5649147088" TargetMode="External"/><Relationship Id="rId18" Type="http://schemas.openxmlformats.org/officeDocument/2006/relationships/hyperlink" Target="https://www.mercadolivre.com.br/protoboard-400-pontos/up/MLBU1754404708?pdp_filters=item_id:MLB811241019" TargetMode="External"/><Relationship Id="rId39" Type="http://schemas.openxmlformats.org/officeDocument/2006/relationships/hyperlink" Target="https://www.magazineluiza.com.br/estanho-fio-1mm-63x37-tubinho-25g-7438633715-vonder/p/cb67caf721/in/pepc/?seller_id=ultramaquinas&amp;srsltid=AfmBOop3uMZztqZPjAn3aquIvd2jNZxcWAvI6LTFUCY05HbbJwSGQQN6aEg" TargetMode="External"/><Relationship Id="rId109" Type="http://schemas.openxmlformats.org/officeDocument/2006/relationships/hyperlink" Target="https://www.arducore.com.br/sensor-de-temperatura-digital-a-prova-dagua-ds18b20?utm_source=Site&amp;utm_medium=GoogleMerchant&amp;utm_campaign=GoogleMerchant&amp;gad_source=4&amp;gad_campaignid=20396558769&amp;gbraid=0AAAAACrKHffprkTc3104msS7X-svt3p8M&amp;gclid=CjwKCAjw_-3GBhAYEiwAjh9fUC8mDceSQpOyNb8hiPVYikncPCogVLjxhcy0MuMmOkKU__tM1Bfd5hoCy2wQAvD_BwE" TargetMode="External"/><Relationship Id="rId34" Type="http://schemas.openxmlformats.org/officeDocument/2006/relationships/hyperlink" Target="https://www.mamuteeletronica.com.br/espacador-cilindrico-em-poliacetal-branco-femea-x-femea-rosca-m3-6x3x10mm-26689" TargetMode="External"/><Relationship Id="rId50" Type="http://schemas.openxmlformats.org/officeDocument/2006/relationships/hyperlink" Target="https://www.kalunga.com.br/prod/abracadeira-de-nylon-2-5x100mm-preto-t18r-hellermanntyton-pt-100-un/346771?cq_src=google_ads&amp;cq_cmp=1505005089&amp;cq_con=60825317747&amp;cq_term=&amp;cq_med=&amp;cq_plac=&amp;cq_net=g&amp;cq_pos=&amp;cq_plt=gp&amp;pcID=1801&amp;gad_source=1&amp;gad_campaignid=1505005089&amp;gbraid=0AAAAADj1B66GSVlaR6QFR3EelqiUQhRWv&amp;gclid=Cj0KCQjw267GBhCSARIsAOjVJ4Gn-A2jEgoQtvge7kFDKIsgdwNJqJy3SiSPgwOzNeFWnGwZokz4D7oaAi48EALw_wcB" TargetMode="External"/><Relationship Id="rId55" Type="http://schemas.openxmlformats.org/officeDocument/2006/relationships/hyperlink" Target="https://www.acheicomponentes.com.br/diversos/botao-de-comando-la39j-11br-amarelo?parceiro=3811&amp;srsltid=AfmBOorNaA0sGpiEYnq_o70Ai4Ugnh3BloXIkqdSzmPfMddakzVsy3KAedg" TargetMode="External"/><Relationship Id="rId76" Type="http://schemas.openxmlformats.org/officeDocument/2006/relationships/hyperlink" Target="https://www.amazon.com.br/Fonte-Chaveada-5VDC-FCTP5001-Hayonik/dp/B0754FTHF7?source=ps-sl-shoppingads-lpcontext&amp;ref_=fplfs&amp;psc=1&amp;smid=A3V6ORYCY953OE" TargetMode="External"/><Relationship Id="rId97" Type="http://schemas.openxmlformats.org/officeDocument/2006/relationships/hyperlink" Target="https://www.crescerengenharia.com/product-page/cpb32h" TargetMode="External"/><Relationship Id="rId104" Type="http://schemas.openxmlformats.org/officeDocument/2006/relationships/hyperlink" Target="https://www.proesi.com.br/sct-013-sensor-de-corrente-n-o-invasivo-100a?utm_source=google-ads&amp;utm_source=%5bV4%5d-%5bVIN%C3%8DCIUS%5d-%5bVENDAS%5d-%5bPMAX%5d-%5bROAS-DESEJADO%5d&amp;utm_content=%5bP2%5d-%5bFRIO%5d-%5bTERMOS-RELACIONADOS%5d&amp;gad_source=4&amp;gad_campaignid=17656097982&amp;gbraid=0AAAAADP44mC5XFXXp00VCsDgMPYAwofg7&amp;gclid=CjwKCAjw_-3GBhAYEiwAjh9fUF77UY3Hv7kwqRxk6RsqiNVmlkpF_-4fLrptzU4h6wdShT5ZwWmFYhoCxWcQAvD_BwE" TargetMode="External"/><Relationship Id="rId7" Type="http://schemas.openxmlformats.org/officeDocument/2006/relationships/hyperlink" Target="https://loja.conduscamp.com.br/produto/cabo-instrumentacaosinal-1x2x250-mm-blindagem-total-dreno-preto/5415419" TargetMode="External"/><Relationship Id="rId71" Type="http://schemas.openxmlformats.org/officeDocument/2006/relationships/hyperlink" Target="https://shopee.com.br/product/290622315/4249885344?gads_t_sig=VTJGc2RHVmtYMTlxTFVSVVRrdENkWVp3RFo3Mkw5czd4Z0hzdEF1WVFibmV0bk5ZcDFsSEl1WEZQdldVd2wydEhCT0FRZndGTzRnU2FKdy82a09Za3kwVXlCek8rcXQ5bEFXemVtUnJ0K1JaWDExZlA5OURNbnpGRU00dSs2OUZLVWdodEdhd3FMU09RQnF2ekJ1d2NnPT0" TargetMode="External"/><Relationship Id="rId92" Type="http://schemas.openxmlformats.org/officeDocument/2006/relationships/hyperlink" Target="https://www.mercadolivre.com.br/modulo-lora-915mhz-sx1276-rfm95w/p/MLB50888168" TargetMode="External"/><Relationship Id="rId2" Type="http://schemas.openxmlformats.org/officeDocument/2006/relationships/hyperlink" Target="http://www.google.com/" TargetMode="External"/><Relationship Id="rId29" Type="http://schemas.openxmlformats.org/officeDocument/2006/relationships/hyperlink" Target="http://www.google.com/" TargetMode="External"/><Relationship Id="rId24" Type="http://schemas.openxmlformats.org/officeDocument/2006/relationships/hyperlink" Target="https://www.eletrogate.com/resistor-120r-1-4w-10-unidades?utm_source=Site&amp;utm_medium=GoogleMerchant&amp;utm_campaign=GoogleMerchant&amp;gad_source=4&amp;gad_campaignid=20223015315&amp;gbraid=0AAAAADqxjs9FhwnDpt4CTcBwG4OhMRu6y&amp;gclid=CjwKCAjw_-3GBhAYEiwAjh9fUK2ScUcboSD1G6b59uYaSbg6GPQHima9mQq0j8VjPyG7QYOCIWmo8BoCUKwQAvD_BwE" TargetMode="External"/><Relationship Id="rId40" Type="http://schemas.openxmlformats.org/officeDocument/2006/relationships/hyperlink" Target="https://www.magazineluiza.com.br/tubinho-de-solda-estanho-63x37-10mm-azul-22g-fluxo-ra-cobix/p/eg1gf6hah9/in/pepc/?seller_id=swellmark&amp;srsltid=AfmBOoqWppamx_78Nwtsnx63d_wCvTRej80TI5nixYhghcIHYirsUHgCy3k" TargetMode="External"/><Relationship Id="rId45" Type="http://schemas.openxmlformats.org/officeDocument/2006/relationships/hyperlink" Target="https://www.mercadolivre.com.br/fio-jumper-2x050mm--rolo-com-500-metros--brancopreto/up/MLBU3386299283?pdp_filters=item_id:MLB5649147088" TargetMode="External"/><Relationship Id="rId66" Type="http://schemas.openxmlformats.org/officeDocument/2006/relationships/hyperlink" Target="https://www.usinainfo.com.br/conversores-de-sinal/conversor-usb-para-rs485-ch340-com-saida-5v-zk-u485-8333.html?srsltid=AfmBOoqcdvJdsWyULW1BU1aakO7keZFkR0UFre_pm6TCXyHXa2x7_xtF" TargetMode="External"/><Relationship Id="rId87" Type="http://schemas.openxmlformats.org/officeDocument/2006/relationships/hyperlink" Target="https://www.eletrogate.com/jumpers-macho-macho-65-unidades?utm_source=Site&amp;utm_medium=GoogleMerchant&amp;utm_campaign=GoogleMerchant&amp;srsltid=AfmBOoq4oUTqsGfWflmfNjU2HscW3hi3dK3r-k2JnRx36mYdfiY-Kv1nFv4" TargetMode="External"/><Relationship Id="rId110" Type="http://schemas.openxmlformats.org/officeDocument/2006/relationships/hyperlink" Target="https://www.mercadolivre.com.br/sensor-de-temperatura-ds18b20-a-prova-dagua-1-metro/up/MLBU1401994979?pdp_filters=item_id:MLB1462984049" TargetMode="External"/><Relationship Id="rId61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2" Type="http://schemas.openxmlformats.org/officeDocument/2006/relationships/hyperlink" Target="https://www.arducore.com.br/jumpers-femea-femea-x40-unidades-20cm?utm_source=Site&amp;utm_medium=GoogleMerchant&amp;utm_campaign=GoogleMerchant&amp;gad_source=4&amp;gad_campaignid=20396558769&amp;gbraid=0AAAAACrKHfeIk9Y3LbmfhbnWwKtZLFYG6&amp;gclid=Cj0KCQjw3OjGBhDYARIsADd-uX7iMEr_bB_-_Z5syCKBh6m9SeFyWBlKdHOmR6J8_56HD-Ks6IoFJu4aAlrBEALw_wcB" TargetMode="External"/><Relationship Id="rId19" Type="http://schemas.openxmlformats.org/officeDocument/2006/relationships/hyperlink" Target="https://www.baudaeletronica.com.br/produto/resistor-120r-5-14w.html?utm_source=Site&amp;utm_medium=GoogleMerchant&amp;utm_campaign=GoogleMerchant&amp;gad_source=4&amp;gad_campaignid=20292490697&amp;gbraid=0AAAAADonfB1aIj-umI0mhi8qVITJBlClA&amp;gclid=CjwKCAjw_-3GBhAYEiwAjh9fUGryCpSbw7b2Lx3VMDmHIulRJkN43bdZ-QNw9diWRpgkqm290UyBhxoC4YUQAvD_BwE" TargetMode="External"/><Relationship Id="rId14" Type="http://schemas.openxmlformats.org/officeDocument/2006/relationships/hyperlink" Target="https://www.plenobras.com.br/646a59a3d496504d21ddf935/cabo-cobre-isolado-pvce-105g-300v-v-1-par-250-mm2-instrumentacao-blindado-preto-nbr-10300-cip105g300v2x250m?srsltid=AfmBOooGMJM9N321gf2IG1sRjVnT-4ml6KUTT5L0sAW_gzZcEO3Fg3FHE7k" TargetMode="External"/><Relationship Id="rId30" Type="http://schemas.openxmlformats.org/officeDocument/2006/relationships/hyperlink" Target="https://www.tecnotronics.com.br/display-lcd-20x4-alfanumerico-interface-com-serial-i2c.html?gad_source=1&amp;gad_campaignid=23007836530&amp;gbraid=0AAAAADMyuI3QNAu6k5KahSkxphVNoNo9a&amp;gclid=CjwKCAjw89jGBhB0EiwA2o1OnwYyBlcR0QqNjyswcj0jIjMykdWoo3wUIjCoxEZJc8qXmCr0bJQzDhoCNPYQAvD_BwE" TargetMode="External"/><Relationship Id="rId35" Type="http://schemas.openxmlformats.org/officeDocument/2006/relationships/hyperlink" Target="https://www.mercadolivre.com.br/fio-estanho-para-soldagem-kit-3-1mm-25g-solda-eletronicos/up/MLBU2939827735?pdp_filters=item_id:MLB5250570834" TargetMode="External"/><Relationship Id="rId56" Type="http://schemas.openxmlformats.org/officeDocument/2006/relationships/hyperlink" Target="https://www.mercadolivre.com.br/botao-pulsador-faceado-1na-1nf-la39j-amarelo-siemens/up/MLBU1403438108?pdp_filters=item_id:MLB1285956577" TargetMode="External"/><Relationship Id="rId77" Type="http://schemas.openxmlformats.org/officeDocument/2006/relationships/hyperlink" Target="https://shopee.com.br/product/351550302/8062318299?gads_t_sig=VTJGc2RHVmtYMTlxTFVSVVRrdENkWVp3RFo3Mkw5czd4Z0hzdEF1WVFibForaUY5RHRKeWErWWlmd3EzVVY2dlhSNU5IZ1YzcVdCQ0RYdTZCYzNNOUNsaS9hYkNPNDUzQU05TFJPU1hiQ1d1UmRTOU5Ud3FnUUNINUwyK0RRdVhkeEdnd25ORWlsalZMUzB6VUFHUUlRPT0" TargetMode="External"/><Relationship Id="rId100" Type="http://schemas.openxmlformats.org/officeDocument/2006/relationships/hyperlink" Target="https://shopee.com.br/product/595700623/22793883974?gads_t_sig=VTJGc2RHVmtYMTlxTFVSVVRrdENkVHQ3ZkZSUTMrR3pBWmZZNzdrcnRBMmhXdDB3R1QvOUhMZlFnd2QwTVlkMU0rYjZocUZhNnord1NId1d6M1VLY0t2MmNTdEplVmJVdWZIZzN4RmdRQ2J3bHpFL3E0bU9abEZhaVF4Z24wVnl1TjcyRG1vU2Q2TnM4Q2t3UGhBYm5RPT0" TargetMode="External"/><Relationship Id="rId105" Type="http://schemas.openxmlformats.org/officeDocument/2006/relationships/hyperlink" Target="https://www.casadoresistor.com.br/sensor-de-corrente-n-o-invasivo-sct013-100a?gad_source=4&amp;gad_campaignid=22313635597&amp;gbraid=0AAAAACPTU44uA8i18zbVQqnxe3I3fTuzf&amp;gclid=CjwKCAjw_-3GBhAYEiwAjh9fUMyti4n9t0BcaTiUdfHtZGColWAa7K-oLzCoflZBd8Z3b6Fx0ciddRoCIxIQAvD_BwE" TargetMode="External"/><Relationship Id="rId8" Type="http://schemas.openxmlformats.org/officeDocument/2006/relationships/hyperlink" Target="https://produto.mercadolivre.com.br/MLB-2803413073-fio-jumper-fdg-50x2-500-metros-_JM?matt_tool=63767287&amp;matt_internal_campaign_id=304979386&amp;matt_word=&amp;matt_source=google&amp;matt_campaign_id=22060114741&amp;matt_ad_group_id=185672390841&amp;matt_match_type=&amp;matt_network=g&amp;matt_device=c&amp;matt_creative=762520740452&amp;matt_keyword=&amp;matt_ad_position=&amp;matt_ad_type=pla&amp;matt_merchant_id=5541782614&amp;matt_product_id=MLB2803413073&amp;matt_product_partition_id=2429331555279&amp;matt_target_id=pla-2429331555279&amp;cq_src=google_ads&amp;cq_cmp=22060114741&amp;cq_net=g&amp;cq_plt=gp&amp;cq_med=pla&amp;gad_source=1&amp;gad_campaignid=22060114741&amp;gbraid=0AAAAAD93qcDM6yM2sb2rEaNAjkNG0tcaN&amp;gclid=Cj0KCQjw267GBhCSARIsAOjVJ4FU6xafmfwrI8YJCq8R1V-pTtoquXZlj0VZLWww4lgla2Coenlqx3QaAidjEALw_wcB" TargetMode="External"/><Relationship Id="rId51" Type="http://schemas.openxmlformats.org/officeDocument/2006/relationships/hyperlink" Target="https://www.ribeiro.ind.br/botao-imp-vd-monob-1na-1nf-la39j-11bg?srsltid=AfmBOorobz8F03pXpeNSBcO_pQ6A3zvy3doy7C7Tl2j_1MbpEYyh_LhpRD8" TargetMode="External"/><Relationship Id="rId72" Type="http://schemas.openxmlformats.org/officeDocument/2006/relationships/hyperlink" Target="https://www.santil.com.br/fita-isolante-liquida-50g/p?gad_source=1&amp;gad_campaignid=20630900380&amp;gbraid=0AAAAAD7srsa4XkenPGV2801hhxuCeqenK&amp;gclid=CjwKCAjw89jGBhB0EiwA2o1On9Ju0xfC4yBcx4dgVXwyPp6Qb0dUVRDY816G2aym7dLoYT81kjoQIhoCJBgQAvD_BwE" TargetMode="External"/><Relationship Id="rId93" Type="http://schemas.openxmlformats.org/officeDocument/2006/relationships/hyperlink" Target="https://shopee.com.br/product/277189279/11438836069?gads_t_sig=VTJGc2RHVmtYMTlxTFVSVVRrdENkVHQ3ZkZSUTMrR3pBWmZZNzdrcnRBMVQ1NkIwekJJQ29mV1pmcm4wdHVCOGo3YVplZEdjcU9kemlYWnBmVGFYTk5LK21BMjMva0lRZHpxeFYrRzM2ZTFFVnBQU3ljbWRjVmJCVS9SSEJYb0ltcCtFaTRLV0xLSXJ4NkVtbHk2SGR3PT0" TargetMode="External"/><Relationship Id="rId98" Type="http://schemas.openxmlformats.org/officeDocument/2006/relationships/hyperlink" Target="https://www.cinestec.com.br/placa-padrao-ilha-desligada-07-x-09cm?srsltid=AfmBOorzMj0tKRvj5WgUr16i8pSu-3JthWYmXprTexg6K4AjPC6NnYrspVk" TargetMode="External"/><Relationship Id="rId3" Type="http://schemas.openxmlformats.org/officeDocument/2006/relationships/hyperlink" Target="https://loja.ccabos.com.br/produtos/cabo-2x100mm-sinal-instrumentacao-300v-preto-blindagem-total-dreno-2-vias-1-par/?variant=870718453&amp;pf=mc&amp;srsltid=AfmBOooFA3egLnl8BeXCvYvIpBEn8y4uBJOIDlsI44q9tluyew9zhizaZU0" TargetMode="External"/><Relationship Id="rId25" Type="http://schemas.openxmlformats.org/officeDocument/2006/relationships/hyperlink" Target="https://loja.conduscamp.com.br/produto/cabo-instrumentacaosinal-1x2x100-mm-blindagem-total-dreno-preto/5415739?srsltid=AfmBOopLspzU63pG7uTh9y2yX6rAvfRptO1EA528C9Q6N1U9U-KeBaew" TargetMode="External"/><Relationship Id="rId46" Type="http://schemas.openxmlformats.org/officeDocument/2006/relationships/hyperlink" Target="https://www.mercadolivre.com.br/knob-baquelite-padrao-boss-com-parafuso-195mm-mfa01/up/MLBU3260074515?pdp_filters=item_id:MLB5463165830" TargetMode="External"/><Relationship Id="rId67" Type="http://schemas.openxmlformats.org/officeDocument/2006/relationships/hyperlink" Target="https://www.mercadolivre.com.br/conversor-usbrs485-modulo-de-comunicacao--plc/up/MLBU1431755932?pdp_filters=item_id:MLB2815747275" TargetMode="External"/><Relationship Id="rId20" Type="http://schemas.openxmlformats.org/officeDocument/2006/relationships/hyperlink" Target="https://www.eletrogate.com/resistor-4k7-1-4w-10-unidades?utm_source=Site&amp;utm_medium=GoogleMerchant&amp;utm_campaign=GoogleMerchant&amp;gad_source=4&amp;gad_campaignid=20223015315&amp;gbraid=0AAAAADqxjs9FhwnDpt4CTcBwG4OhMRu6y&amp;gclid=CjwKCAjw_-3GBhAYEiwAjh9fUP0z-rE4_6WdOyBOBGDuopqxYxJKGKEeh5TjdvFWFXnu2WQIwWNjfxoCN28QAvD_BwE" TargetMode="External"/><Relationship Id="rId41" Type="http://schemas.openxmlformats.org/officeDocument/2006/relationships/hyperlink" Target="https://www.casadoresistor.com.br/espacador-nylon-femea-femea-m3x10mm-branco" TargetMode="External"/><Relationship Id="rId62" Type="http://schemas.openxmlformats.org/officeDocument/2006/relationships/hyperlink" Target="https://www.mercadolivre.com.br/cabo-flexivel-020-cabinho-para-eletronica-5m-cor--6-cores/up/MLBU3297582207?pdp_filters=item_id:MLB5504171260" TargetMode="External"/><Relationship Id="rId83" Type="http://schemas.openxmlformats.org/officeDocument/2006/relationships/hyperlink" Target="https://produto.mercadolivre.com.br/MLB-4598539690-kit-cabo-jumper-fmea-x-fmea-20cm-40-und-arduino-protoboard-_JM?matt_tool=18956390&amp;utm_source=google_shopping&amp;utm_medium=organic" TargetMode="External"/><Relationship Id="rId88" Type="http://schemas.openxmlformats.org/officeDocument/2006/relationships/hyperlink" Target="https://www.mercadolivre.com.br/kit-jumper-x40-macho-x-macho-premium-20cm/p/MLB37482649?matt_tool=18956390&amp;utm_source=google_shopping&amp;utm_medium=organic&amp;pdp_filters=item_id:MLB4818383854" TargetMode="External"/><Relationship Id="rId111" Type="http://schemas.openxmlformats.org/officeDocument/2006/relationships/hyperlink" Target="https://www.viewtech.ind.br/controlador-logico-programavel-weg-clp-clic02-24vcc-20vr?srsltid=AfmBOoqfElU95RNVcP307KN2DHUhX740OfzHmeerlpQZ82TW8nqZUpHGW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49"/>
  <sheetViews>
    <sheetView tabSelected="1" zoomScaleNormal="100" workbookViewId="0">
      <selection activeCell="G29" sqref="G29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9.140625" style="3"/>
    <col min="4" max="4" width="9.28515625" style="3" customWidth="1"/>
    <col min="5" max="5" width="10.140625" style="3" customWidth="1"/>
    <col min="6" max="6" width="25.5703125" style="3" customWidth="1"/>
    <col min="7" max="7" width="12.140625" style="3" customWidth="1"/>
    <col min="8" max="8" width="11" style="3" customWidth="1"/>
    <col min="9" max="9" width="64" style="3" customWidth="1"/>
    <col min="10" max="10" width="12" style="3" customWidth="1"/>
    <col min="11" max="11" width="9.7109375" style="3" customWidth="1"/>
    <col min="12" max="12" width="10.7109375" style="3" bestFit="1" customWidth="1"/>
    <col min="13" max="13" width="7" style="3" customWidth="1"/>
    <col min="14" max="14" width="10.7109375" style="3" bestFit="1" customWidth="1"/>
    <col min="15" max="15" width="10.28515625" style="3" customWidth="1"/>
    <col min="16" max="16" width="15.140625" style="3" customWidth="1"/>
    <col min="17" max="17" width="16.42578125" style="3" customWidth="1"/>
    <col min="18" max="16384" width="9.140625" style="3"/>
  </cols>
  <sheetData>
    <row r="2" spans="1:17" ht="15.75" thickBot="1" x14ac:dyDescent="0.3"/>
    <row r="3" spans="1:17" ht="15.75" thickBot="1" x14ac:dyDescent="0.3">
      <c r="A3" s="3" t="s">
        <v>14</v>
      </c>
      <c r="B3" s="22">
        <f>Q9</f>
        <v>14842.03</v>
      </c>
      <c r="E3" s="27" t="s">
        <v>14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1:17" ht="15.75" thickBot="1" x14ac:dyDescent="0.3">
      <c r="A4" s="3" t="s">
        <v>24</v>
      </c>
      <c r="B4" s="22">
        <f>Q49</f>
        <v>11193.66</v>
      </c>
      <c r="E4" s="1" t="s">
        <v>0</v>
      </c>
      <c r="F4" s="1" t="s">
        <v>6</v>
      </c>
      <c r="G4" s="1" t="s">
        <v>1</v>
      </c>
      <c r="H4" s="1" t="s">
        <v>2</v>
      </c>
      <c r="I4" s="1" t="s">
        <v>3</v>
      </c>
      <c r="J4" s="1" t="s">
        <v>7</v>
      </c>
      <c r="K4" s="1" t="s">
        <v>8</v>
      </c>
      <c r="L4" s="1" t="s">
        <v>9</v>
      </c>
      <c r="M4" s="1" t="s">
        <v>8</v>
      </c>
      <c r="N4" s="1" t="s">
        <v>10</v>
      </c>
      <c r="O4" s="1" t="s">
        <v>8</v>
      </c>
      <c r="P4" s="1" t="s">
        <v>11</v>
      </c>
      <c r="Q4" s="1" t="s">
        <v>12</v>
      </c>
    </row>
    <row r="5" spans="1:17" ht="135.75" thickBot="1" x14ac:dyDescent="0.3">
      <c r="B5" s="22">
        <f>SUM(B3:B4)</f>
        <v>26035.690000000002</v>
      </c>
      <c r="E5" s="4">
        <v>1</v>
      </c>
      <c r="F5" s="4">
        <v>5795001</v>
      </c>
      <c r="G5" s="4">
        <v>1000</v>
      </c>
      <c r="H5" s="7" t="s">
        <v>15</v>
      </c>
      <c r="I5" s="2" t="s">
        <v>22</v>
      </c>
      <c r="J5" s="5">
        <v>4.49</v>
      </c>
      <c r="K5" s="6" t="s">
        <v>13</v>
      </c>
      <c r="L5" s="5">
        <v>3.78</v>
      </c>
      <c r="M5" s="6" t="s">
        <v>13</v>
      </c>
      <c r="N5" s="5">
        <v>5.28</v>
      </c>
      <c r="O5" s="6" t="s">
        <v>13</v>
      </c>
      <c r="P5" s="5">
        <f>ROUND(AVERAGE(N5,L5,J5),2)</f>
        <v>4.5199999999999996</v>
      </c>
      <c r="Q5" s="5">
        <f>G5*P5</f>
        <v>4520</v>
      </c>
    </row>
    <row r="6" spans="1:17" ht="135.75" thickBot="1" x14ac:dyDescent="0.3">
      <c r="E6" s="4">
        <v>2</v>
      </c>
      <c r="F6" s="4">
        <v>5794293</v>
      </c>
      <c r="G6" s="4">
        <v>1000</v>
      </c>
      <c r="H6" s="7" t="s">
        <v>15</v>
      </c>
      <c r="I6" s="2" t="s">
        <v>16</v>
      </c>
      <c r="J6" s="5">
        <v>8.85</v>
      </c>
      <c r="K6" s="6" t="s">
        <v>13</v>
      </c>
      <c r="L6" s="5">
        <v>9.1199999999999992</v>
      </c>
      <c r="M6" s="6" t="s">
        <v>13</v>
      </c>
      <c r="N6" s="5">
        <f>460/50</f>
        <v>9.1999999999999993</v>
      </c>
      <c r="O6" s="6" t="s">
        <v>13</v>
      </c>
      <c r="P6" s="5">
        <f t="shared" ref="P6:P8" si="0">ROUND(AVERAGE(N6,L6,J6),2)</f>
        <v>9.06</v>
      </c>
      <c r="Q6" s="5">
        <f t="shared" ref="Q6:Q8" si="1">G6*P6</f>
        <v>9060</v>
      </c>
    </row>
    <row r="7" spans="1:17" ht="90.75" thickBot="1" x14ac:dyDescent="0.3">
      <c r="E7" s="4">
        <v>3</v>
      </c>
      <c r="F7" s="4">
        <v>3957420</v>
      </c>
      <c r="G7" s="4">
        <v>1</v>
      </c>
      <c r="H7" s="7" t="s">
        <v>20</v>
      </c>
      <c r="I7" s="2" t="s">
        <v>17</v>
      </c>
      <c r="J7" s="5">
        <v>161.63</v>
      </c>
      <c r="K7" s="6" t="s">
        <v>13</v>
      </c>
      <c r="L7" s="5">
        <v>455.7</v>
      </c>
      <c r="M7" s="6" t="s">
        <v>13</v>
      </c>
      <c r="N7" s="5">
        <v>249.99</v>
      </c>
      <c r="O7" s="6" t="s">
        <v>13</v>
      </c>
      <c r="P7" s="5">
        <f t="shared" si="0"/>
        <v>289.11</v>
      </c>
      <c r="Q7" s="5">
        <f t="shared" si="1"/>
        <v>289.11</v>
      </c>
    </row>
    <row r="8" spans="1:17" ht="90.75" thickBot="1" x14ac:dyDescent="0.3">
      <c r="E8" s="4">
        <v>4</v>
      </c>
      <c r="F8" s="4">
        <v>2625628</v>
      </c>
      <c r="G8" s="4">
        <v>4</v>
      </c>
      <c r="H8" s="7" t="s">
        <v>19</v>
      </c>
      <c r="I8" s="2" t="s">
        <v>18</v>
      </c>
      <c r="J8" s="5">
        <v>207.69</v>
      </c>
      <c r="K8" s="6" t="s">
        <v>13</v>
      </c>
      <c r="L8" s="5">
        <f>100*2.23</f>
        <v>223</v>
      </c>
      <c r="M8" s="6" t="s">
        <v>13</v>
      </c>
      <c r="N8" s="5">
        <v>299</v>
      </c>
      <c r="O8" s="6" t="s">
        <v>13</v>
      </c>
      <c r="P8" s="5">
        <f t="shared" si="0"/>
        <v>243.23</v>
      </c>
      <c r="Q8" s="5">
        <f t="shared" si="1"/>
        <v>972.92</v>
      </c>
    </row>
    <row r="9" spans="1:17" ht="15.75" thickBot="1" x14ac:dyDescent="0.3">
      <c r="E9" s="30" t="s">
        <v>21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  <c r="Q9" s="5">
        <f>SUM(Q5:Q8)</f>
        <v>14842.03</v>
      </c>
    </row>
    <row r="10" spans="1:17" ht="15.75" thickBot="1" x14ac:dyDescent="0.3"/>
    <row r="11" spans="1:17" ht="15.75" thickBot="1" x14ac:dyDescent="0.3">
      <c r="E11" s="27" t="s">
        <v>24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</row>
    <row r="12" spans="1:17" ht="15.75" thickBot="1" x14ac:dyDescent="0.3">
      <c r="E12" s="1" t="s">
        <v>0</v>
      </c>
      <c r="F12" s="1" t="s">
        <v>6</v>
      </c>
      <c r="G12" s="1" t="s">
        <v>1</v>
      </c>
      <c r="H12" s="1" t="s">
        <v>2</v>
      </c>
      <c r="I12" s="1" t="s">
        <v>3</v>
      </c>
      <c r="J12" s="1" t="s">
        <v>7</v>
      </c>
      <c r="K12" s="1" t="s">
        <v>8</v>
      </c>
      <c r="L12" s="1" t="s">
        <v>9</v>
      </c>
      <c r="M12" s="1" t="s">
        <v>8</v>
      </c>
      <c r="N12" s="1" t="s">
        <v>10</v>
      </c>
      <c r="O12" s="1" t="s">
        <v>8</v>
      </c>
      <c r="P12" s="1" t="s">
        <v>11</v>
      </c>
      <c r="Q12" s="1" t="s">
        <v>12</v>
      </c>
    </row>
    <row r="13" spans="1:17" ht="45.75" thickBot="1" x14ac:dyDescent="0.3">
      <c r="E13" s="8">
        <v>1</v>
      </c>
      <c r="F13" s="1">
        <v>2161389</v>
      </c>
      <c r="G13" s="13">
        <v>200</v>
      </c>
      <c r="H13" s="13" t="s">
        <v>25</v>
      </c>
      <c r="I13" s="19" t="s">
        <v>62</v>
      </c>
      <c r="J13" s="5">
        <v>6.96</v>
      </c>
      <c r="K13" s="6" t="s">
        <v>13</v>
      </c>
      <c r="L13" s="5">
        <v>12.9</v>
      </c>
      <c r="M13" s="6" t="s">
        <v>13</v>
      </c>
      <c r="N13" s="5">
        <v>7.8</v>
      </c>
      <c r="O13" s="6" t="s">
        <v>13</v>
      </c>
      <c r="P13" s="5">
        <f t="shared" ref="P13:P25" si="2">ROUND(AVERAGE(N13,L13,J13),2)</f>
        <v>9.2200000000000006</v>
      </c>
      <c r="Q13" s="5">
        <f t="shared" ref="Q13:Q46" si="3">G13*P13</f>
        <v>1844.0000000000002</v>
      </c>
    </row>
    <row r="14" spans="1:17" ht="15.75" thickBot="1" x14ac:dyDescent="0.3">
      <c r="E14" s="8">
        <v>2</v>
      </c>
      <c r="F14" s="1">
        <v>4120582</v>
      </c>
      <c r="G14" s="13">
        <v>1</v>
      </c>
      <c r="H14" s="13" t="s">
        <v>27</v>
      </c>
      <c r="I14" s="19" t="s">
        <v>63</v>
      </c>
      <c r="J14" s="5">
        <v>7.49</v>
      </c>
      <c r="K14" s="6" t="s">
        <v>13</v>
      </c>
      <c r="L14" s="5">
        <v>8.5</v>
      </c>
      <c r="M14" s="6" t="s">
        <v>13</v>
      </c>
      <c r="N14" s="5">
        <v>5.8</v>
      </c>
      <c r="O14" s="6" t="s">
        <v>13</v>
      </c>
      <c r="P14" s="5">
        <f t="shared" si="2"/>
        <v>7.26</v>
      </c>
      <c r="Q14" s="5">
        <f t="shared" si="3"/>
        <v>7.26</v>
      </c>
    </row>
    <row r="15" spans="1:17" ht="30.75" thickBot="1" x14ac:dyDescent="0.3">
      <c r="E15" s="8">
        <v>3</v>
      </c>
      <c r="F15" s="1">
        <v>3138550</v>
      </c>
      <c r="G15" s="13">
        <v>4</v>
      </c>
      <c r="H15" s="13" t="s">
        <v>25</v>
      </c>
      <c r="I15" s="19" t="s">
        <v>64</v>
      </c>
      <c r="J15" s="5">
        <v>12.2</v>
      </c>
      <c r="K15" s="6" t="s">
        <v>13</v>
      </c>
      <c r="L15" s="5">
        <v>15</v>
      </c>
      <c r="M15" s="6" t="s">
        <v>13</v>
      </c>
      <c r="N15" s="5">
        <v>16.489999999999998</v>
      </c>
      <c r="O15" s="6" t="s">
        <v>13</v>
      </c>
      <c r="P15" s="5">
        <f t="shared" ref="P15" si="4">ROUND(AVERAGE(N15,L15,J15),2)</f>
        <v>14.56</v>
      </c>
      <c r="Q15" s="5">
        <f t="shared" ref="Q15" si="5">G15*P15</f>
        <v>58.24</v>
      </c>
    </row>
    <row r="16" spans="1:17" ht="30.75" thickBot="1" x14ac:dyDescent="0.3">
      <c r="E16" s="8">
        <v>4</v>
      </c>
      <c r="F16" s="1">
        <v>6227937</v>
      </c>
      <c r="G16" s="13">
        <v>4</v>
      </c>
      <c r="H16" s="13" t="s">
        <v>25</v>
      </c>
      <c r="I16" s="19" t="s">
        <v>65</v>
      </c>
      <c r="J16" s="5">
        <v>12.2</v>
      </c>
      <c r="K16" s="6" t="s">
        <v>13</v>
      </c>
      <c r="L16" s="5">
        <v>15</v>
      </c>
      <c r="M16" s="6" t="s">
        <v>13</v>
      </c>
      <c r="N16" s="5">
        <v>16.489999999999998</v>
      </c>
      <c r="O16" s="6" t="s">
        <v>13</v>
      </c>
      <c r="P16" s="5">
        <f t="shared" si="2"/>
        <v>14.56</v>
      </c>
      <c r="Q16" s="5">
        <f t="shared" si="3"/>
        <v>58.24</v>
      </c>
    </row>
    <row r="17" spans="5:17" ht="45.75" thickBot="1" x14ac:dyDescent="0.3">
      <c r="E17" s="8">
        <v>5</v>
      </c>
      <c r="F17" s="1">
        <v>5998786</v>
      </c>
      <c r="G17" s="13">
        <v>3</v>
      </c>
      <c r="H17" s="17" t="s">
        <v>30</v>
      </c>
      <c r="I17" s="19" t="s">
        <v>76</v>
      </c>
      <c r="J17" s="5">
        <v>0.98</v>
      </c>
      <c r="K17" s="6" t="s">
        <v>13</v>
      </c>
      <c r="L17" s="5">
        <f>163/100</f>
        <v>1.63</v>
      </c>
      <c r="M17" s="6" t="s">
        <v>13</v>
      </c>
      <c r="N17" s="5">
        <f>33.15/30</f>
        <v>1.105</v>
      </c>
      <c r="O17" s="6" t="s">
        <v>13</v>
      </c>
      <c r="P17" s="5">
        <f t="shared" si="2"/>
        <v>1.24</v>
      </c>
      <c r="Q17" s="5">
        <f t="shared" si="3"/>
        <v>3.7199999999999998</v>
      </c>
    </row>
    <row r="18" spans="5:17" ht="45.75" thickBot="1" x14ac:dyDescent="0.3">
      <c r="E18" s="8">
        <v>6</v>
      </c>
      <c r="F18" s="1">
        <v>419761</v>
      </c>
      <c r="G18" s="13">
        <v>3</v>
      </c>
      <c r="H18" s="17" t="s">
        <v>30</v>
      </c>
      <c r="I18" s="19" t="s">
        <v>77</v>
      </c>
      <c r="J18" s="5">
        <v>0.98</v>
      </c>
      <c r="K18" s="6" t="s">
        <v>13</v>
      </c>
      <c r="L18" s="5">
        <f t="shared" ref="L18:L22" si="6">163/100</f>
        <v>1.63</v>
      </c>
      <c r="M18" s="6" t="s">
        <v>13</v>
      </c>
      <c r="N18" s="5">
        <f t="shared" ref="N18:N22" si="7">33.15/30</f>
        <v>1.105</v>
      </c>
      <c r="O18" s="6" t="s">
        <v>13</v>
      </c>
      <c r="P18" s="5">
        <f t="shared" si="2"/>
        <v>1.24</v>
      </c>
      <c r="Q18" s="5">
        <f t="shared" si="3"/>
        <v>3.7199999999999998</v>
      </c>
    </row>
    <row r="19" spans="5:17" ht="45.75" thickBot="1" x14ac:dyDescent="0.3">
      <c r="E19" s="8">
        <v>7</v>
      </c>
      <c r="F19" s="1">
        <v>6315658</v>
      </c>
      <c r="G19" s="13">
        <v>3</v>
      </c>
      <c r="H19" s="17" t="s">
        <v>30</v>
      </c>
      <c r="I19" s="19" t="s">
        <v>78</v>
      </c>
      <c r="J19" s="5">
        <v>0.98</v>
      </c>
      <c r="K19" s="6" t="s">
        <v>13</v>
      </c>
      <c r="L19" s="5">
        <f t="shared" si="6"/>
        <v>1.63</v>
      </c>
      <c r="M19" s="6" t="s">
        <v>13</v>
      </c>
      <c r="N19" s="5">
        <f t="shared" si="7"/>
        <v>1.105</v>
      </c>
      <c r="O19" s="6" t="s">
        <v>13</v>
      </c>
      <c r="P19" s="5">
        <f t="shared" si="2"/>
        <v>1.24</v>
      </c>
      <c r="Q19" s="5">
        <f t="shared" si="3"/>
        <v>3.7199999999999998</v>
      </c>
    </row>
    <row r="20" spans="5:17" ht="45.75" thickBot="1" x14ac:dyDescent="0.3">
      <c r="E20" s="8">
        <v>8</v>
      </c>
      <c r="F20" s="1">
        <v>6315615</v>
      </c>
      <c r="G20" s="13">
        <v>5</v>
      </c>
      <c r="H20" s="17" t="s">
        <v>30</v>
      </c>
      <c r="I20" s="19" t="s">
        <v>79</v>
      </c>
      <c r="J20" s="5">
        <v>0.98</v>
      </c>
      <c r="K20" s="6" t="s">
        <v>13</v>
      </c>
      <c r="L20" s="5">
        <f t="shared" si="6"/>
        <v>1.63</v>
      </c>
      <c r="M20" s="6" t="s">
        <v>13</v>
      </c>
      <c r="N20" s="5">
        <f t="shared" si="7"/>
        <v>1.105</v>
      </c>
      <c r="O20" s="6" t="s">
        <v>13</v>
      </c>
      <c r="P20" s="5">
        <f t="shared" si="2"/>
        <v>1.24</v>
      </c>
      <c r="Q20" s="5">
        <f t="shared" si="3"/>
        <v>6.2</v>
      </c>
    </row>
    <row r="21" spans="5:17" ht="45.75" thickBot="1" x14ac:dyDescent="0.3">
      <c r="E21" s="8">
        <v>9</v>
      </c>
      <c r="F21" s="1">
        <v>5902568</v>
      </c>
      <c r="G21" s="13">
        <v>5</v>
      </c>
      <c r="H21" s="17" t="s">
        <v>30</v>
      </c>
      <c r="I21" s="19" t="s">
        <v>80</v>
      </c>
      <c r="J21" s="5">
        <v>0.98</v>
      </c>
      <c r="K21" s="6" t="s">
        <v>13</v>
      </c>
      <c r="L21" s="5">
        <f t="shared" si="6"/>
        <v>1.63</v>
      </c>
      <c r="M21" s="6" t="s">
        <v>13</v>
      </c>
      <c r="N21" s="5">
        <f t="shared" si="7"/>
        <v>1.105</v>
      </c>
      <c r="O21" s="6" t="s">
        <v>13</v>
      </c>
      <c r="P21" s="5">
        <f t="shared" si="2"/>
        <v>1.24</v>
      </c>
      <c r="Q21" s="5">
        <f t="shared" si="3"/>
        <v>6.2</v>
      </c>
    </row>
    <row r="22" spans="5:17" ht="45.75" thickBot="1" x14ac:dyDescent="0.3">
      <c r="E22" s="8">
        <v>10</v>
      </c>
      <c r="F22" s="1">
        <v>5853117</v>
      </c>
      <c r="G22" s="13">
        <v>5</v>
      </c>
      <c r="H22" s="17" t="s">
        <v>30</v>
      </c>
      <c r="I22" s="19" t="s">
        <v>81</v>
      </c>
      <c r="J22" s="5">
        <v>0.98</v>
      </c>
      <c r="K22" s="6" t="s">
        <v>13</v>
      </c>
      <c r="L22" s="5">
        <f t="shared" si="6"/>
        <v>1.63</v>
      </c>
      <c r="M22" s="6" t="s">
        <v>13</v>
      </c>
      <c r="N22" s="5">
        <f t="shared" si="7"/>
        <v>1.105</v>
      </c>
      <c r="O22" s="6" t="s">
        <v>13</v>
      </c>
      <c r="P22" s="5">
        <f t="shared" si="2"/>
        <v>1.24</v>
      </c>
      <c r="Q22" s="5">
        <f t="shared" si="3"/>
        <v>6.2</v>
      </c>
    </row>
    <row r="23" spans="5:17" ht="30.75" thickBot="1" x14ac:dyDescent="0.3">
      <c r="E23" s="8">
        <v>11</v>
      </c>
      <c r="F23" s="1">
        <v>5835844</v>
      </c>
      <c r="G23" s="13">
        <v>4</v>
      </c>
      <c r="H23" s="13" t="s">
        <v>25</v>
      </c>
      <c r="I23" s="19" t="s">
        <v>67</v>
      </c>
      <c r="J23" s="5">
        <v>52.98</v>
      </c>
      <c r="K23" s="6" t="s">
        <v>13</v>
      </c>
      <c r="L23" s="5">
        <v>41</v>
      </c>
      <c r="M23" s="6" t="s">
        <v>13</v>
      </c>
      <c r="N23" s="5">
        <v>70.27</v>
      </c>
      <c r="O23" s="6" t="s">
        <v>13</v>
      </c>
      <c r="P23" s="5">
        <f t="shared" si="2"/>
        <v>54.75</v>
      </c>
      <c r="Q23" s="5">
        <f t="shared" si="3"/>
        <v>219</v>
      </c>
    </row>
    <row r="24" spans="5:17" ht="15.75" thickBot="1" x14ac:dyDescent="0.3">
      <c r="E24" s="8">
        <v>12</v>
      </c>
      <c r="F24" s="1">
        <v>5174546</v>
      </c>
      <c r="G24" s="13">
        <v>5</v>
      </c>
      <c r="H24" s="13" t="s">
        <v>25</v>
      </c>
      <c r="I24" s="19" t="s">
        <v>38</v>
      </c>
      <c r="J24" s="5">
        <v>29.95</v>
      </c>
      <c r="K24" s="6" t="s">
        <v>13</v>
      </c>
      <c r="L24" s="5">
        <v>29.9</v>
      </c>
      <c r="M24" s="6" t="s">
        <v>13</v>
      </c>
      <c r="N24" s="5">
        <v>41</v>
      </c>
      <c r="O24" s="6" t="s">
        <v>13</v>
      </c>
      <c r="P24" s="5">
        <f t="shared" si="2"/>
        <v>33.619999999999997</v>
      </c>
      <c r="Q24" s="5">
        <f t="shared" si="3"/>
        <v>168.1</v>
      </c>
    </row>
    <row r="25" spans="5:17" ht="15.75" thickBot="1" x14ac:dyDescent="0.3">
      <c r="E25" s="8">
        <v>13</v>
      </c>
      <c r="F25" s="1">
        <v>5889537</v>
      </c>
      <c r="G25" s="13">
        <v>4</v>
      </c>
      <c r="H25" s="13" t="s">
        <v>25</v>
      </c>
      <c r="I25" s="19" t="s">
        <v>66</v>
      </c>
      <c r="J25" s="5">
        <v>33.799999999999997</v>
      </c>
      <c r="K25" s="6" t="s">
        <v>13</v>
      </c>
      <c r="L25" s="5">
        <v>54.99</v>
      </c>
      <c r="M25" s="6" t="s">
        <v>13</v>
      </c>
      <c r="N25" s="5">
        <v>37.86</v>
      </c>
      <c r="O25" s="6" t="s">
        <v>13</v>
      </c>
      <c r="P25" s="5">
        <f t="shared" si="2"/>
        <v>42.22</v>
      </c>
      <c r="Q25" s="5">
        <f t="shared" si="3"/>
        <v>168.88</v>
      </c>
    </row>
    <row r="26" spans="5:17" ht="30.75" thickBot="1" x14ac:dyDescent="0.3">
      <c r="E26" s="8">
        <v>14</v>
      </c>
      <c r="F26" s="1">
        <v>5084598</v>
      </c>
      <c r="G26" s="13">
        <v>1</v>
      </c>
      <c r="H26" s="13" t="s">
        <v>25</v>
      </c>
      <c r="I26" s="19" t="s">
        <v>40</v>
      </c>
      <c r="J26" s="5">
        <v>51</v>
      </c>
      <c r="K26" s="6" t="s">
        <v>13</v>
      </c>
      <c r="L26" s="5">
        <v>61.5</v>
      </c>
      <c r="M26" s="6" t="s">
        <v>13</v>
      </c>
      <c r="N26" s="5">
        <v>67</v>
      </c>
      <c r="O26" s="6" t="s">
        <v>13</v>
      </c>
      <c r="P26" s="5">
        <f>ROUND(AVERAGE(N26,L26,J26),2)</f>
        <v>59.83</v>
      </c>
      <c r="Q26" s="5">
        <f t="shared" si="3"/>
        <v>59.83</v>
      </c>
    </row>
    <row r="27" spans="5:17" ht="30.75" thickBot="1" x14ac:dyDescent="0.3">
      <c r="E27" s="8">
        <v>15</v>
      </c>
      <c r="F27" s="1">
        <v>5782627</v>
      </c>
      <c r="G27" s="13">
        <v>40</v>
      </c>
      <c r="H27" s="13" t="s">
        <v>25</v>
      </c>
      <c r="I27" s="19" t="s">
        <v>41</v>
      </c>
      <c r="J27" s="5">
        <v>2.5</v>
      </c>
      <c r="K27" s="6" t="s">
        <v>13</v>
      </c>
      <c r="L27" s="5">
        <v>0.68</v>
      </c>
      <c r="M27" s="6" t="s">
        <v>13</v>
      </c>
      <c r="N27" s="5">
        <f>59.99/50</f>
        <v>1.1998</v>
      </c>
      <c r="O27" s="6" t="s">
        <v>13</v>
      </c>
      <c r="P27" s="5">
        <f t="shared" ref="P27:P29" si="8">ROUND(AVERAGE(N27,L27,J27),2)</f>
        <v>1.46</v>
      </c>
      <c r="Q27" s="5">
        <f t="shared" si="3"/>
        <v>58.4</v>
      </c>
    </row>
    <row r="28" spans="5:17" ht="30.75" thickBot="1" x14ac:dyDescent="0.3">
      <c r="E28" s="8">
        <v>16</v>
      </c>
      <c r="F28" s="1">
        <v>2495910</v>
      </c>
      <c r="G28" s="13">
        <v>1</v>
      </c>
      <c r="H28" s="13" t="s">
        <v>25</v>
      </c>
      <c r="I28" s="19" t="s">
        <v>68</v>
      </c>
      <c r="J28" s="5">
        <f>72.99/3</f>
        <v>24.33</v>
      </c>
      <c r="K28" s="6" t="s">
        <v>13</v>
      </c>
      <c r="L28" s="5">
        <v>20.88</v>
      </c>
      <c r="M28" s="6" t="s">
        <v>13</v>
      </c>
      <c r="N28" s="5">
        <v>20</v>
      </c>
      <c r="O28" s="6" t="s">
        <v>13</v>
      </c>
      <c r="P28" s="5">
        <f t="shared" si="8"/>
        <v>21.74</v>
      </c>
      <c r="Q28" s="5">
        <f t="shared" si="3"/>
        <v>21.74</v>
      </c>
    </row>
    <row r="29" spans="5:17" ht="30.75" thickBot="1" x14ac:dyDescent="0.3">
      <c r="E29" s="8">
        <v>17</v>
      </c>
      <c r="F29" s="1">
        <v>6017673</v>
      </c>
      <c r="G29" s="13">
        <v>8</v>
      </c>
      <c r="H29" s="13" t="s">
        <v>25</v>
      </c>
      <c r="I29" s="19" t="s">
        <v>82</v>
      </c>
      <c r="J29" s="5">
        <v>25</v>
      </c>
      <c r="K29" s="6" t="s">
        <v>13</v>
      </c>
      <c r="L29" s="5">
        <v>18.239999999999998</v>
      </c>
      <c r="M29" s="6" t="s">
        <v>13</v>
      </c>
      <c r="N29" s="5">
        <f>49.5/2</f>
        <v>24.75</v>
      </c>
      <c r="O29" s="6" t="s">
        <v>13</v>
      </c>
      <c r="P29" s="5">
        <f t="shared" si="8"/>
        <v>22.66</v>
      </c>
      <c r="Q29" s="5">
        <f t="shared" ref="Q29" si="9">G29*P29</f>
        <v>181.28</v>
      </c>
    </row>
    <row r="30" spans="5:17" ht="15.75" thickBot="1" x14ac:dyDescent="0.3">
      <c r="E30" s="8">
        <v>18</v>
      </c>
      <c r="F30" s="1">
        <v>4897250</v>
      </c>
      <c r="G30" s="13">
        <v>3</v>
      </c>
      <c r="H30" s="13" t="s">
        <v>25</v>
      </c>
      <c r="I30" s="19" t="s">
        <v>44</v>
      </c>
      <c r="J30" s="5">
        <v>51.94</v>
      </c>
      <c r="K30" s="6" t="s">
        <v>13</v>
      </c>
      <c r="L30" s="5">
        <v>40.24</v>
      </c>
      <c r="M30" s="6" t="s">
        <v>13</v>
      </c>
      <c r="N30" s="5">
        <v>28.59</v>
      </c>
      <c r="O30" s="6" t="s">
        <v>13</v>
      </c>
      <c r="P30" s="5">
        <f t="shared" ref="P30:P41" si="10">ROUND(AVERAGE(N30,L30,J30),2)</f>
        <v>40.26</v>
      </c>
      <c r="Q30" s="5">
        <f t="shared" si="3"/>
        <v>120.78</v>
      </c>
    </row>
    <row r="31" spans="5:17" ht="30.75" thickBot="1" x14ac:dyDescent="0.3">
      <c r="E31" s="8">
        <v>19</v>
      </c>
      <c r="F31" s="1">
        <v>6260985</v>
      </c>
      <c r="G31" s="13">
        <v>2</v>
      </c>
      <c r="H31" s="13" t="s">
        <v>25</v>
      </c>
      <c r="I31" s="19" t="s">
        <v>69</v>
      </c>
      <c r="J31" s="5">
        <v>21.99</v>
      </c>
      <c r="K31" s="6" t="s">
        <v>13</v>
      </c>
      <c r="L31" s="5">
        <v>29.9</v>
      </c>
      <c r="M31" s="6" t="s">
        <v>13</v>
      </c>
      <c r="N31" s="5">
        <v>27.06</v>
      </c>
      <c r="O31" s="6" t="s">
        <v>13</v>
      </c>
      <c r="P31" s="5">
        <f t="shared" si="10"/>
        <v>26.32</v>
      </c>
      <c r="Q31" s="5">
        <f t="shared" si="3"/>
        <v>52.64</v>
      </c>
    </row>
    <row r="32" spans="5:17" ht="30.75" thickBot="1" x14ac:dyDescent="0.3">
      <c r="E32" s="8">
        <v>20</v>
      </c>
      <c r="F32" s="1">
        <v>4895100</v>
      </c>
      <c r="G32" s="13">
        <v>4</v>
      </c>
      <c r="H32" s="13" t="s">
        <v>25</v>
      </c>
      <c r="I32" s="19" t="s">
        <v>46</v>
      </c>
      <c r="J32" s="5">
        <v>28.48</v>
      </c>
      <c r="K32" s="6" t="s">
        <v>13</v>
      </c>
      <c r="L32" s="5">
        <v>30.98</v>
      </c>
      <c r="M32" s="6" t="s">
        <v>13</v>
      </c>
      <c r="N32" s="5">
        <v>61.64</v>
      </c>
      <c r="O32" s="6" t="s">
        <v>13</v>
      </c>
      <c r="P32" s="5">
        <f t="shared" si="10"/>
        <v>40.369999999999997</v>
      </c>
      <c r="Q32" s="5">
        <f t="shared" si="3"/>
        <v>161.47999999999999</v>
      </c>
    </row>
    <row r="33" spans="5:17" ht="15.75" thickBot="1" x14ac:dyDescent="0.3">
      <c r="E33" s="8">
        <v>21</v>
      </c>
      <c r="F33" s="1">
        <v>6145736</v>
      </c>
      <c r="G33" s="13">
        <v>1</v>
      </c>
      <c r="H33" s="13" t="s">
        <v>25</v>
      </c>
      <c r="I33" s="19" t="s">
        <v>83</v>
      </c>
      <c r="J33" s="5">
        <f>4*2.8</f>
        <v>11.2</v>
      </c>
      <c r="K33" s="6" t="s">
        <v>13</v>
      </c>
      <c r="L33" s="5">
        <v>13.9</v>
      </c>
      <c r="M33" s="6" t="s">
        <v>13</v>
      </c>
      <c r="N33" s="5">
        <v>14.9</v>
      </c>
      <c r="O33" s="6" t="s">
        <v>13</v>
      </c>
      <c r="P33" s="5">
        <f t="shared" si="10"/>
        <v>13.33</v>
      </c>
      <c r="Q33" s="5">
        <f t="shared" si="3"/>
        <v>13.33</v>
      </c>
    </row>
    <row r="34" spans="5:17" ht="15.75" thickBot="1" x14ac:dyDescent="0.3">
      <c r="E34" s="8">
        <v>22</v>
      </c>
      <c r="F34" s="1">
        <v>6264336</v>
      </c>
      <c r="G34" s="13">
        <v>1</v>
      </c>
      <c r="H34" s="13" t="s">
        <v>25</v>
      </c>
      <c r="I34" s="19" t="s">
        <v>84</v>
      </c>
      <c r="J34" s="5">
        <v>18.989999999999998</v>
      </c>
      <c r="K34" s="6" t="s">
        <v>13</v>
      </c>
      <c r="L34" s="5">
        <v>13.9</v>
      </c>
      <c r="M34" s="6" t="s">
        <v>13</v>
      </c>
      <c r="N34" s="5">
        <v>13.9</v>
      </c>
      <c r="O34" s="6" t="s">
        <v>13</v>
      </c>
      <c r="P34" s="5">
        <f t="shared" si="10"/>
        <v>15.6</v>
      </c>
      <c r="Q34" s="5">
        <f t="shared" si="3"/>
        <v>15.6</v>
      </c>
    </row>
    <row r="35" spans="5:17" ht="15.75" thickBot="1" x14ac:dyDescent="0.3">
      <c r="E35" s="8">
        <v>23</v>
      </c>
      <c r="F35" s="1">
        <v>5023513</v>
      </c>
      <c r="G35" s="13">
        <v>1</v>
      </c>
      <c r="H35" s="13" t="s">
        <v>25</v>
      </c>
      <c r="I35" s="19" t="s">
        <v>85</v>
      </c>
      <c r="J35" s="5">
        <v>11.9</v>
      </c>
      <c r="K35" s="6" t="s">
        <v>13</v>
      </c>
      <c r="L35" s="5">
        <v>19.010000000000002</v>
      </c>
      <c r="M35" s="6" t="s">
        <v>13</v>
      </c>
      <c r="N35" s="5">
        <v>13.9</v>
      </c>
      <c r="O35" s="6" t="s">
        <v>13</v>
      </c>
      <c r="P35" s="5">
        <f t="shared" si="10"/>
        <v>14.94</v>
      </c>
      <c r="Q35" s="5">
        <f t="shared" si="3"/>
        <v>14.94</v>
      </c>
    </row>
    <row r="36" spans="5:17" ht="45.75" thickBot="1" x14ac:dyDescent="0.3">
      <c r="E36" s="8">
        <v>24</v>
      </c>
      <c r="F36" s="1">
        <v>5785375</v>
      </c>
      <c r="G36" s="13">
        <v>1</v>
      </c>
      <c r="H36" s="13" t="s">
        <v>25</v>
      </c>
      <c r="I36" s="19" t="s">
        <v>50</v>
      </c>
      <c r="J36" s="5">
        <v>349.9</v>
      </c>
      <c r="K36" s="6" t="s">
        <v>13</v>
      </c>
      <c r="L36" s="18"/>
      <c r="M36" s="6" t="s">
        <v>13</v>
      </c>
      <c r="N36" s="18"/>
      <c r="O36" s="6" t="s">
        <v>13</v>
      </c>
      <c r="P36" s="5">
        <f t="shared" si="10"/>
        <v>349.9</v>
      </c>
      <c r="Q36" s="5">
        <f t="shared" si="3"/>
        <v>349.9</v>
      </c>
    </row>
    <row r="37" spans="5:17" ht="45.75" thickBot="1" x14ac:dyDescent="0.3">
      <c r="E37" s="8">
        <v>25</v>
      </c>
      <c r="F37" s="1">
        <v>5841550</v>
      </c>
      <c r="G37" s="13">
        <v>2</v>
      </c>
      <c r="H37" s="13" t="s">
        <v>25</v>
      </c>
      <c r="I37" s="19" t="s">
        <v>51</v>
      </c>
      <c r="J37" s="5">
        <v>109.9</v>
      </c>
      <c r="K37" s="6" t="s">
        <v>13</v>
      </c>
      <c r="L37" s="5">
        <v>114.9</v>
      </c>
      <c r="M37" s="6" t="s">
        <v>13</v>
      </c>
      <c r="N37" s="5">
        <v>99.9</v>
      </c>
      <c r="O37" s="6" t="s">
        <v>13</v>
      </c>
      <c r="P37" s="5">
        <f t="shared" si="10"/>
        <v>108.23</v>
      </c>
      <c r="Q37" s="5">
        <f t="shared" si="3"/>
        <v>216.46</v>
      </c>
    </row>
    <row r="38" spans="5:17" ht="30.75" thickBot="1" x14ac:dyDescent="0.3">
      <c r="E38" s="8">
        <v>26</v>
      </c>
      <c r="F38" s="1">
        <v>6195822</v>
      </c>
      <c r="G38" s="13">
        <v>2</v>
      </c>
      <c r="H38" s="13" t="s">
        <v>25</v>
      </c>
      <c r="I38" s="19" t="s">
        <v>52</v>
      </c>
      <c r="J38" s="5">
        <v>213.85</v>
      </c>
      <c r="K38" s="6" t="s">
        <v>13</v>
      </c>
      <c r="L38" s="5">
        <v>115.9</v>
      </c>
      <c r="M38" s="6" t="s">
        <v>13</v>
      </c>
      <c r="N38" s="5">
        <v>169</v>
      </c>
      <c r="O38" s="6" t="s">
        <v>13</v>
      </c>
      <c r="P38" s="5">
        <f t="shared" si="10"/>
        <v>166.25</v>
      </c>
      <c r="Q38" s="5">
        <f t="shared" si="3"/>
        <v>332.5</v>
      </c>
    </row>
    <row r="39" spans="5:17" ht="31.5" thickBot="1" x14ac:dyDescent="0.3">
      <c r="E39" s="8">
        <v>27</v>
      </c>
      <c r="F39" s="1">
        <v>5488605</v>
      </c>
      <c r="G39" s="13">
        <v>4</v>
      </c>
      <c r="H39" s="13" t="s">
        <v>25</v>
      </c>
      <c r="I39" s="19" t="s">
        <v>53</v>
      </c>
      <c r="J39" s="5">
        <v>849.9</v>
      </c>
      <c r="K39" s="6" t="s">
        <v>13</v>
      </c>
      <c r="L39" s="18"/>
      <c r="M39" s="6" t="s">
        <v>13</v>
      </c>
      <c r="N39" s="18"/>
      <c r="O39" s="6" t="s">
        <v>13</v>
      </c>
      <c r="P39" s="5">
        <f t="shared" si="10"/>
        <v>849.9</v>
      </c>
      <c r="Q39" s="5">
        <f t="shared" si="3"/>
        <v>3399.6</v>
      </c>
    </row>
    <row r="40" spans="5:17" ht="15.75" thickBot="1" x14ac:dyDescent="0.3">
      <c r="E40" s="8">
        <v>28</v>
      </c>
      <c r="F40" s="1">
        <v>6300251</v>
      </c>
      <c r="G40" s="13">
        <v>4</v>
      </c>
      <c r="H40" s="13" t="s">
        <v>25</v>
      </c>
      <c r="I40" s="20" t="s">
        <v>54</v>
      </c>
      <c r="J40" s="5">
        <v>14</v>
      </c>
      <c r="K40" s="6" t="s">
        <v>13</v>
      </c>
      <c r="L40" s="5">
        <v>3.85</v>
      </c>
      <c r="M40" s="6" t="s">
        <v>13</v>
      </c>
      <c r="N40" s="5">
        <f>19.8/5</f>
        <v>3.96</v>
      </c>
      <c r="O40" s="6" t="s">
        <v>13</v>
      </c>
      <c r="P40" s="5">
        <f t="shared" si="10"/>
        <v>7.27</v>
      </c>
      <c r="Q40" s="5">
        <f t="shared" si="3"/>
        <v>29.08</v>
      </c>
    </row>
    <row r="41" spans="5:17" ht="15.75" thickBot="1" x14ac:dyDescent="0.3">
      <c r="E41" s="8">
        <v>29</v>
      </c>
      <c r="F41" s="1">
        <v>5409292</v>
      </c>
      <c r="G41" s="13">
        <v>2</v>
      </c>
      <c r="H41" s="13" t="s">
        <v>25</v>
      </c>
      <c r="I41" s="20" t="s">
        <v>70</v>
      </c>
      <c r="J41" s="5">
        <f>23.74/10</f>
        <v>2.3739999999999997</v>
      </c>
      <c r="K41" s="6" t="s">
        <v>13</v>
      </c>
      <c r="L41" s="5">
        <v>3</v>
      </c>
      <c r="M41" s="6" t="s">
        <v>13</v>
      </c>
      <c r="N41" s="5">
        <f>42.96/10</f>
        <v>4.2960000000000003</v>
      </c>
      <c r="O41" s="6" t="s">
        <v>13</v>
      </c>
      <c r="P41" s="5">
        <f t="shared" si="10"/>
        <v>3.22</v>
      </c>
      <c r="Q41" s="5">
        <f t="shared" si="3"/>
        <v>6.44</v>
      </c>
    </row>
    <row r="42" spans="5:17" ht="30.75" thickBot="1" x14ac:dyDescent="0.3">
      <c r="E42" s="8">
        <v>30</v>
      </c>
      <c r="F42" s="1">
        <v>5308909</v>
      </c>
      <c r="G42" s="13">
        <v>3</v>
      </c>
      <c r="H42" s="13" t="s">
        <v>25</v>
      </c>
      <c r="I42" s="20" t="s">
        <v>71</v>
      </c>
      <c r="J42" s="5">
        <v>11.98</v>
      </c>
      <c r="K42" s="6" t="s">
        <v>13</v>
      </c>
      <c r="L42" s="5">
        <v>13.4</v>
      </c>
      <c r="M42" s="6" t="s">
        <v>13</v>
      </c>
      <c r="N42" s="5">
        <v>13.11</v>
      </c>
      <c r="O42" s="6" t="s">
        <v>13</v>
      </c>
      <c r="P42" s="5">
        <f>ROUND(AVERAGE(N42,L42,J42),2)</f>
        <v>12.83</v>
      </c>
      <c r="Q42" s="5">
        <f t="shared" si="3"/>
        <v>38.49</v>
      </c>
    </row>
    <row r="43" spans="5:17" ht="15.75" thickBot="1" x14ac:dyDescent="0.3">
      <c r="E43" s="8">
        <v>31</v>
      </c>
      <c r="F43" s="1">
        <v>5985382</v>
      </c>
      <c r="G43" s="13">
        <v>10</v>
      </c>
      <c r="H43" s="13" t="s">
        <v>25</v>
      </c>
      <c r="I43" s="20" t="s">
        <v>72</v>
      </c>
      <c r="J43" s="5">
        <v>0.08</v>
      </c>
      <c r="K43" s="6" t="s">
        <v>13</v>
      </c>
      <c r="L43" s="5">
        <v>0.09</v>
      </c>
      <c r="M43" s="6" t="s">
        <v>13</v>
      </c>
      <c r="N43" s="5">
        <v>0.09</v>
      </c>
      <c r="O43" s="6" t="s">
        <v>13</v>
      </c>
      <c r="P43" s="5">
        <f t="shared" ref="P43:P46" si="11">ROUND(AVERAGE(N43,L43,J43),2)</f>
        <v>0.09</v>
      </c>
      <c r="Q43" s="5">
        <f t="shared" si="3"/>
        <v>0.89999999999999991</v>
      </c>
    </row>
    <row r="44" spans="5:17" ht="15.75" thickBot="1" x14ac:dyDescent="0.3">
      <c r="E44" s="8">
        <v>32</v>
      </c>
      <c r="F44" s="1">
        <v>4787048</v>
      </c>
      <c r="G44" s="13">
        <v>4</v>
      </c>
      <c r="H44" s="13" t="s">
        <v>25</v>
      </c>
      <c r="I44" s="20" t="s">
        <v>73</v>
      </c>
      <c r="J44" s="5">
        <v>0.09</v>
      </c>
      <c r="K44" s="6" t="s">
        <v>13</v>
      </c>
      <c r="L44" s="5">
        <v>0.08</v>
      </c>
      <c r="M44" s="6" t="s">
        <v>13</v>
      </c>
      <c r="N44" s="5">
        <v>0.08</v>
      </c>
      <c r="O44" s="6" t="s">
        <v>13</v>
      </c>
      <c r="P44" s="5">
        <f t="shared" si="11"/>
        <v>0.08</v>
      </c>
      <c r="Q44" s="5">
        <f t="shared" si="3"/>
        <v>0.32</v>
      </c>
    </row>
    <row r="45" spans="5:17" ht="60.75" thickBot="1" x14ac:dyDescent="0.3">
      <c r="E45" s="8">
        <v>33</v>
      </c>
      <c r="F45" s="1">
        <v>5350905</v>
      </c>
      <c r="G45" s="13">
        <v>1</v>
      </c>
      <c r="H45" s="13" t="s">
        <v>25</v>
      </c>
      <c r="I45" s="20" t="s">
        <v>59</v>
      </c>
      <c r="J45" s="5">
        <v>933.77</v>
      </c>
      <c r="K45" s="6" t="s">
        <v>13</v>
      </c>
      <c r="L45" s="18"/>
      <c r="M45" s="6" t="s">
        <v>13</v>
      </c>
      <c r="N45" s="18"/>
      <c r="O45" s="6" t="s">
        <v>13</v>
      </c>
      <c r="P45" s="5">
        <f t="shared" si="11"/>
        <v>933.77</v>
      </c>
      <c r="Q45" s="5">
        <f t="shared" si="3"/>
        <v>933.77</v>
      </c>
    </row>
    <row r="46" spans="5:17" ht="30.75" thickBot="1" x14ac:dyDescent="0.3">
      <c r="E46" s="8">
        <v>34</v>
      </c>
      <c r="F46" s="4">
        <v>5489032</v>
      </c>
      <c r="G46" s="13">
        <v>2</v>
      </c>
      <c r="H46" s="13" t="s">
        <v>25</v>
      </c>
      <c r="I46" s="20" t="s">
        <v>86</v>
      </c>
      <c r="J46" s="5">
        <v>23.99</v>
      </c>
      <c r="K46" s="6" t="s">
        <v>13</v>
      </c>
      <c r="L46" s="5">
        <v>17.899999999999999</v>
      </c>
      <c r="M46" s="6" t="s">
        <v>13</v>
      </c>
      <c r="N46" s="5">
        <v>19</v>
      </c>
      <c r="O46" s="6" t="s">
        <v>13</v>
      </c>
      <c r="P46" s="5">
        <f t="shared" si="11"/>
        <v>20.3</v>
      </c>
      <c r="Q46" s="5">
        <f t="shared" si="3"/>
        <v>40.6</v>
      </c>
    </row>
    <row r="47" spans="5:17" ht="120.75" thickBot="1" x14ac:dyDescent="0.3">
      <c r="E47" s="8">
        <v>35</v>
      </c>
      <c r="F47" s="4">
        <v>5667917</v>
      </c>
      <c r="G47" s="13">
        <v>3</v>
      </c>
      <c r="H47" s="13" t="s">
        <v>25</v>
      </c>
      <c r="I47" s="20" t="s">
        <v>87</v>
      </c>
      <c r="J47" s="5">
        <v>104.62</v>
      </c>
      <c r="K47" s="6" t="s">
        <v>13</v>
      </c>
      <c r="L47" s="5">
        <v>68.260000000000005</v>
      </c>
      <c r="M47" s="6" t="s">
        <v>13</v>
      </c>
      <c r="N47" s="5">
        <v>80</v>
      </c>
      <c r="O47" s="6" t="s">
        <v>13</v>
      </c>
      <c r="P47" s="5">
        <f>ROUND(AVERAGE(N47,L47,J47),2)</f>
        <v>84.29</v>
      </c>
      <c r="Q47" s="5">
        <f>G47*P47</f>
        <v>252.87</v>
      </c>
    </row>
    <row r="48" spans="5:17" ht="105.75" thickBot="1" x14ac:dyDescent="0.3">
      <c r="E48" s="8">
        <v>36</v>
      </c>
      <c r="F48" s="4"/>
      <c r="G48" s="13">
        <v>1</v>
      </c>
      <c r="H48" s="13" t="s">
        <v>25</v>
      </c>
      <c r="I48" s="20" t="s">
        <v>74</v>
      </c>
      <c r="J48" s="5">
        <f>2024.69+521</f>
        <v>2545.69</v>
      </c>
      <c r="K48" s="21" t="s">
        <v>75</v>
      </c>
      <c r="L48" s="5">
        <f>1740+521</f>
        <v>2261</v>
      </c>
      <c r="M48" s="21" t="s">
        <v>75</v>
      </c>
      <c r="N48" s="5">
        <f>1690+521</f>
        <v>2211</v>
      </c>
      <c r="O48" s="21" t="s">
        <v>75</v>
      </c>
      <c r="P48" s="5">
        <f>ROUND(AVERAGE(N48,L48,J48),2)</f>
        <v>2339.23</v>
      </c>
      <c r="Q48" s="5">
        <f>G48*P48</f>
        <v>2339.23</v>
      </c>
    </row>
    <row r="49" spans="5:17" ht="15.75" thickBot="1" x14ac:dyDescent="0.3">
      <c r="E49" s="30" t="s">
        <v>23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2"/>
      <c r="Q49" s="5">
        <f>SUM(Q13:Q48)</f>
        <v>11193.66</v>
      </c>
    </row>
  </sheetData>
  <mergeCells count="4">
    <mergeCell ref="E3:Q3"/>
    <mergeCell ref="E9:P9"/>
    <mergeCell ref="E11:Q11"/>
    <mergeCell ref="E49:P49"/>
  </mergeCells>
  <hyperlinks>
    <hyperlink ref="K5" r:id="rId1" xr:uid="{46D6A3B0-B601-4788-BBA7-A53F98178D43}"/>
    <hyperlink ref="K6:K9" r:id="rId2" display="link" xr:uid="{36FADF16-7F7A-4AEF-BC3A-EC96E6EFFC34}"/>
    <hyperlink ref="M5" r:id="rId3" xr:uid="{D21FDE44-B55D-49F2-BF0E-A6A188182EE2}"/>
    <hyperlink ref="M6:M9" r:id="rId4" display="link" xr:uid="{33BCFEAB-5939-438A-BB7B-79EA8674A169}"/>
    <hyperlink ref="O5" r:id="rId5" xr:uid="{A9AE9E45-DA14-4D04-BA46-84DB531E7156}"/>
    <hyperlink ref="O6:O9" r:id="rId6" display="link" xr:uid="{C2CD1CB9-B93A-4C7C-891D-B73C54E47901}"/>
    <hyperlink ref="K6" r:id="rId7" xr:uid="{9E20DE49-1ABC-4220-88B3-C6E768687DDB}"/>
    <hyperlink ref="K7" r:id="rId8" xr:uid="{E6243847-F241-417F-BF15-B150ADDEA978}"/>
    <hyperlink ref="K8" r:id="rId9" xr:uid="{DC5201B5-83BB-4C72-AB4B-1E4465E0F23D}"/>
    <hyperlink ref="M8" r:id="rId10" xr:uid="{27394019-B4AF-451A-BDF4-92164583F7C3}"/>
    <hyperlink ref="O8" r:id="rId11" xr:uid="{99507249-252B-4F7B-912B-45ED74BB1308}"/>
    <hyperlink ref="M7" r:id="rId12" xr:uid="{43E6A188-375B-44C2-A448-F08E47CF0753}"/>
    <hyperlink ref="O7" r:id="rId13" xr:uid="{096AD831-3955-4DF9-8999-D842412D3E01}"/>
    <hyperlink ref="M6" r:id="rId14" xr:uid="{05268FD1-0A95-42FC-9EDE-53DA3A420B18}"/>
    <hyperlink ref="O6" r:id="rId15" xr:uid="{4273344C-D462-40DB-8399-5A8E68367F83}"/>
    <hyperlink ref="K42" r:id="rId16" xr:uid="{8B07E00C-D384-4086-A86A-9321293D06EB}"/>
    <hyperlink ref="M42" r:id="rId17" xr:uid="{6AA622F6-CC92-46CD-966F-D994FF3237BE}"/>
    <hyperlink ref="O42" r:id="rId18" xr:uid="{C49B27C9-E006-49C5-92C0-710A2E401884}"/>
    <hyperlink ref="K43" r:id="rId19" xr:uid="{C68267E4-C1ED-4D10-B087-C54C8067F4C0}"/>
    <hyperlink ref="K44" r:id="rId20" xr:uid="{DE86FBA2-55FA-46D6-99C4-1ACFA3BC1872}"/>
    <hyperlink ref="M44" r:id="rId21" xr:uid="{3A8F392A-7FE5-457C-A2D2-087B45B5AFF7}"/>
    <hyperlink ref="O44" r:id="rId22" xr:uid="{9A09030F-D121-432E-8FC1-BA7173E6294A}"/>
    <hyperlink ref="M43" r:id="rId23" xr:uid="{291CD20D-C212-4C82-A4DD-7625577BF076}"/>
    <hyperlink ref="O43" r:id="rId24" xr:uid="{30BD9E4F-0FE2-437A-8E50-E01C3882548E}"/>
    <hyperlink ref="K30:K41" r:id="rId25" display="link" xr:uid="{ACD7959C-ABDC-43EA-9590-A28F83792929}"/>
    <hyperlink ref="M30:M41" r:id="rId26" display="link" xr:uid="{28E420CD-F95D-42D4-9967-E9E20B873824}"/>
    <hyperlink ref="O30:O41" r:id="rId27" display="link" xr:uid="{4C39AD52-AA3F-4248-8D23-1DF16DDDFAC4}"/>
    <hyperlink ref="K26" r:id="rId28" xr:uid="{F82A669C-07AA-4E0E-A662-CF5F0FAA24B2}"/>
    <hyperlink ref="K27:K29" r:id="rId29" display="link" xr:uid="{EF50B82D-90CA-43C9-9A25-AEE70DDC7C6D}"/>
    <hyperlink ref="M26" r:id="rId30" xr:uid="{42BB36FF-0E1F-4C85-8125-D113EFD47548}"/>
    <hyperlink ref="M27:M29" r:id="rId31" display="link" xr:uid="{99006181-275E-4D32-9EFF-4FE6C1EF1700}"/>
    <hyperlink ref="O26" r:id="rId32" xr:uid="{D48EE01E-E9FC-47B9-9264-A623B9AA7A23}"/>
    <hyperlink ref="O27:O29" r:id="rId33" display="link" xr:uid="{EEE957A4-2210-4AF2-8D58-5D934C1E7199}"/>
    <hyperlink ref="K27" r:id="rId34" xr:uid="{11562420-0986-4C28-8509-BABFD0224D97}"/>
    <hyperlink ref="K28" r:id="rId35" location="is_advertising=true&amp;searchVariation=MLBU2939827735&amp;backend_model=search-backend&amp;position=3&amp;search_layout=grid&amp;type=pad&amp;tracking_id=d55b636d-eb77-4774-aa8a-ab1f4358227f&amp;ad_domain=VQCATCORE_LST&amp;ad_position=3&amp;ad_click_id=MTRlMmFmMDItMGNjNC00NDIzLTkwYWUtMjE5Nzc2YWE4NDY1" xr:uid="{CB121B67-9483-4856-B370-11CBE2BBFCAE}"/>
    <hyperlink ref="K29" r:id="rId36" xr:uid="{20758C53-445C-4162-91FD-D44677F42925}"/>
    <hyperlink ref="M29" r:id="rId37" location="derivacao=8" xr:uid="{55FC6E82-83ED-4EB8-A0E8-F45C86DAECD7}"/>
    <hyperlink ref="O29" r:id="rId38" xr:uid="{88F41D3A-4195-4ADA-B2A0-32564781F13B}"/>
    <hyperlink ref="M28" r:id="rId39" xr:uid="{751340F1-763E-4A48-8AC6-5C26D157B027}"/>
    <hyperlink ref="O28" r:id="rId40" xr:uid="{B1458BA4-1B5D-402C-8F82-B8A07FADB033}"/>
    <hyperlink ref="M27" r:id="rId41" xr:uid="{50B9D2F1-6731-4205-B9EC-52027CA76829}"/>
    <hyperlink ref="O27" r:id="rId42" location="polycard_client=search-nordic&amp;search_layout=stack&amp;position=3&amp;type=product&amp;tracking_id=2622fad7-ccf2-436b-b59e-0c94867e764c&amp;wid=MLB1412581889&amp;sid=search" xr:uid="{A4B33E61-3700-4F93-9E53-2A1B73F0DAFB}"/>
    <hyperlink ref="K45:K46" r:id="rId43" display="link" xr:uid="{17CAC583-9BCD-47AE-B989-C21EBFBBA2B5}"/>
    <hyperlink ref="M45:M46" r:id="rId44" display="link" xr:uid="{1E75977D-7D32-4C80-ABF0-D642E507C3B1}"/>
    <hyperlink ref="O45:O46" r:id="rId45" display="link" xr:uid="{89F17F20-2225-4FB0-A5A1-3BEB2919E101}"/>
    <hyperlink ref="M13" r:id="rId46" xr:uid="{48FDD5DC-050B-4C55-AE97-F780C412E449}"/>
    <hyperlink ref="O13" r:id="rId47" xr:uid="{D9FD193D-A741-49BF-987B-FDBD491A47B6}"/>
    <hyperlink ref="K14" r:id="rId48" xr:uid="{0439E2FD-1F79-462D-8A2D-FA5732653715}"/>
    <hyperlink ref="M14" r:id="rId49" xr:uid="{C3343E74-9BD1-48DD-BCDF-35A00B794965}"/>
    <hyperlink ref="O14" r:id="rId50" xr:uid="{4A12D37D-DEE1-4778-8123-B8C9A4519375}"/>
    <hyperlink ref="K15" r:id="rId51" xr:uid="{0695A813-31CF-4AC1-AA4B-374E711AB496}"/>
    <hyperlink ref="M15" r:id="rId52" xr:uid="{E851BF13-E9B9-4798-AF80-672A793727BA}"/>
    <hyperlink ref="O15" r:id="rId53" xr:uid="{7BAABB0E-3C14-475E-A057-3AEA8510509D}"/>
    <hyperlink ref="K16" r:id="rId54" xr:uid="{1D4A88E7-D959-4A4E-9869-083529C6800B}"/>
    <hyperlink ref="M16" r:id="rId55" xr:uid="{5910B05A-43BD-45C6-B093-0045C8A8D94A}"/>
    <hyperlink ref="O16" r:id="rId56" xr:uid="{9CA4E910-7AC3-4E1B-B53A-D01BC279BF2A}"/>
    <hyperlink ref="K17" r:id="rId57" xr:uid="{DFD6F431-7BCA-458B-95DA-8C7B33AE8EA8}"/>
    <hyperlink ref="K18:K22" r:id="rId58" display="link" xr:uid="{90E183CD-0E28-42C1-9273-F54DFCD16BDF}"/>
    <hyperlink ref="M17" r:id="rId59" xr:uid="{55F56974-B7C7-4756-AAD5-297082938FA3}"/>
    <hyperlink ref="M18:M22" r:id="rId60" display="link" xr:uid="{54E053CA-5786-4DDA-BD55-09E6B24B94AF}"/>
    <hyperlink ref="O17" r:id="rId61" xr:uid="{58073708-BF10-4F07-AD58-70C38DF12850}"/>
    <hyperlink ref="O18:O22" r:id="rId62" display="link" xr:uid="{4999E0D3-DAC7-45F8-B0EB-53B0CB6A342E}"/>
    <hyperlink ref="K23" r:id="rId63" location="polycard_client=search_best-seller&amp;tracking_id=3f465951-442e-438f-a8a1-874f77b77430&amp;wid=MLB5599275528&amp;sid=search" xr:uid="{DB47AD4B-8967-4849-926A-303B7D452C55}"/>
    <hyperlink ref="M23" r:id="rId64" xr:uid="{241C67B8-D161-44AF-9E6C-9F582A11B6BF}"/>
    <hyperlink ref="O23" r:id="rId65" xr:uid="{A2AA2837-1D09-4F92-9F3F-680ED65C15F6}"/>
    <hyperlink ref="K24" r:id="rId66" xr:uid="{34C21327-3E93-487E-AA03-94667BB066FE}"/>
    <hyperlink ref="M24" r:id="rId67" xr:uid="{31440062-BE95-4CC5-83F5-299B0645AA07}"/>
    <hyperlink ref="O24" r:id="rId68" xr:uid="{311C0E3E-1BAE-419B-90DB-E4FDAC6BEF99}"/>
    <hyperlink ref="K25" r:id="rId69" xr:uid="{79BCD4F0-43D7-4EFA-B214-CA2AD9EA2B6B}"/>
    <hyperlink ref="M25" r:id="rId70" xr:uid="{CEA9020B-D52F-4733-8586-641EB013BB0D}"/>
    <hyperlink ref="O25" r:id="rId71" xr:uid="{CC5A5B59-DDBD-4D52-883B-6E44AB602F4D}"/>
    <hyperlink ref="K30" r:id="rId72" xr:uid="{4D63DDE6-88AA-43ED-BDFD-37E113009BF8}"/>
    <hyperlink ref="O30" r:id="rId73" xr:uid="{016DEC39-9179-4BF9-9E8E-8B7DC0A37F74}"/>
    <hyperlink ref="M30" r:id="rId74" xr:uid="{95683117-B9DA-41FB-9167-053DD15522F4}"/>
    <hyperlink ref="K31" r:id="rId75" xr:uid="{263F030C-F900-4120-9D61-738806D01CC0}"/>
    <hyperlink ref="M31" r:id="rId76" xr:uid="{BB56C1C6-D6C5-4152-8181-5333DEA3A7D6}"/>
    <hyperlink ref="O31" r:id="rId77" xr:uid="{1686FE93-9FF7-47AC-ADA6-99E6F024CC44}"/>
    <hyperlink ref="K32" r:id="rId78" xr:uid="{E7E21924-B53F-4831-8D39-5870DD9326D4}"/>
    <hyperlink ref="M32" r:id="rId79" xr:uid="{1C9EC1CD-3FE0-4491-9EC0-CBC05E409FF2}"/>
    <hyperlink ref="O32" r:id="rId80" xr:uid="{92F4EB80-CFAB-48BF-9399-966EBFEE209A}"/>
    <hyperlink ref="K33" r:id="rId81" xr:uid="{CA49AE7B-1666-4D56-8D20-CC5DC33918F4}"/>
    <hyperlink ref="M33" r:id="rId82" xr:uid="{38879BFF-23E0-46F4-8923-8FF4D7B09C6C}"/>
    <hyperlink ref="O33" r:id="rId83" xr:uid="{2CE6D172-8B65-4242-BC6C-1C0A92EB4AFD}"/>
    <hyperlink ref="K34" r:id="rId84" xr:uid="{339A2774-213A-40EB-93C0-C7312CB6C902}"/>
    <hyperlink ref="M34" r:id="rId85" xr:uid="{E73EB46E-F8C0-4449-BA0E-B8CFF55E8AF5}"/>
    <hyperlink ref="O34" r:id="rId86" xr:uid="{DC78D21E-15EE-4C6F-93D9-32DBC6887C50}"/>
    <hyperlink ref="K35" r:id="rId87" xr:uid="{8327D21A-4462-4A49-86CE-1E7FAAE28DDC}"/>
    <hyperlink ref="M35" r:id="rId88" xr:uid="{C0C28F3C-C158-4990-A827-A325018A996E}"/>
    <hyperlink ref="O35" r:id="rId89" xr:uid="{B3D88028-4F76-43E3-975A-57E86AE6F458}"/>
    <hyperlink ref="K36" r:id="rId90" xr:uid="{22C24802-1954-468E-91EF-5AF641E1450C}"/>
    <hyperlink ref="K37" r:id="rId91" xr:uid="{56941C96-AC8E-4D63-941C-02E72F18B3EC}"/>
    <hyperlink ref="M37" r:id="rId92" location="polycard_client=search-nordic&amp;search_layout=stack&amp;position=1&amp;type=product&amp;tracking_id=94318a09-b8ed-4b62-8a00-9480a16c7ecc&amp;wid=MLB5416675902&amp;sid=search" xr:uid="{A9E1B616-C176-4B43-AEF4-82ADAECCA4CA}"/>
    <hyperlink ref="O37" r:id="rId93" xr:uid="{E487F4EB-DDB5-41B4-AD8E-52677E8DB0D1}"/>
    <hyperlink ref="K38" r:id="rId94" xr:uid="{CA3C914E-7657-4CBD-B71F-DA8C7933F003}"/>
    <hyperlink ref="M38" r:id="rId95" xr:uid="{D0257932-2424-43BF-82D4-36F6E32EBCC3}"/>
    <hyperlink ref="O38" r:id="rId96" xr:uid="{7477C2EC-5AEA-4FA8-A16E-68778509518B}"/>
    <hyperlink ref="K39" r:id="rId97" xr:uid="{E2B8BA6D-8E27-4E85-9D24-6221D8FD468B}"/>
    <hyperlink ref="K40" r:id="rId98" xr:uid="{AF486F91-0300-4436-9184-0A8D4BE48244}"/>
    <hyperlink ref="M40" r:id="rId99" xr:uid="{335CF8A9-147A-4F8C-9D8E-296BF64A5CF9}"/>
    <hyperlink ref="O40" r:id="rId100" xr:uid="{71D93A90-473B-4D0C-A44D-A4C16B71D3BF}"/>
    <hyperlink ref="K41" r:id="rId101" xr:uid="{77CBC872-44A6-4E87-AF9F-73FEB0C149DC}"/>
    <hyperlink ref="M41" r:id="rId102" xr:uid="{9CE87868-0D24-4B81-8AE2-1AE12DDE2AA9}"/>
    <hyperlink ref="O41" r:id="rId103" xr:uid="{042E24AF-7B27-4F37-9F71-B44117E85424}"/>
    <hyperlink ref="K47" r:id="rId104" location="derivacao=8" xr:uid="{C9DD5AB3-4D5B-4BCD-9E26-D539F47AFA28}"/>
    <hyperlink ref="M47" r:id="rId105" xr:uid="{18DC30F3-6BD5-49BC-9AF5-8598CA50FC56}"/>
    <hyperlink ref="O47" r:id="rId106" xr:uid="{AA0880F1-10A3-4959-8C06-19173CDCFB27}"/>
    <hyperlink ref="K45" r:id="rId107" xr:uid="{D013BD20-73EB-4091-B611-86E09606634D}"/>
    <hyperlink ref="K46" r:id="rId108" xr:uid="{2A38BB51-8866-4D28-88A5-76478C8C6F63}"/>
    <hyperlink ref="M46" r:id="rId109" xr:uid="{AB4CB922-06E2-4C94-9AC8-D7FDFC80DDD4}"/>
    <hyperlink ref="O46" r:id="rId110" xr:uid="{5BDBCCEF-B978-4D94-B46F-FFC8A3E5C6C0}"/>
    <hyperlink ref="K48" r:id="rId111" display="link" xr:uid="{64105C56-CD7C-4E26-85B5-F71FBF66D3A4}"/>
    <hyperlink ref="M48" r:id="rId112" display="https://www.mercadolivre.com.br/controlador-logico-clic02-clw02-20vrd-3rd-24vcc-11268449/up/MLBU2886663265?pdp_filters=item_id:MLB5213852204" xr:uid="{2A27312B-9255-4115-8783-DCD888D2C6ED}"/>
    <hyperlink ref="O48" r:id="rId113" display="https://www.refercomercio.com.br/comandos-eletricos/reles/controlador-logico-programavel-weg-clp-clic02-24vcc-20vr?parceiro=5922&amp;srsltid=AfmBOop0xT7a1KEuh7rNT9ctz37owkZvUrRlnJtkh7P4WL_hSLNhSIa2Pk0" xr:uid="{600C3B65-ACCB-4405-A9EA-88C43A1F6090}"/>
  </hyperlinks>
  <pageMargins left="0.7" right="0.7" top="0.75" bottom="0.75" header="0.3" footer="0.3"/>
  <pageSetup paperSize="9" scale="56" fitToHeight="0" orientation="landscape" r:id="rId1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E20E-0C91-4DDD-8B3B-B9C578A3F7A9}">
  <sheetPr>
    <pageSetUpPr fitToPage="1"/>
  </sheetPr>
  <dimension ref="E2:H48"/>
  <sheetViews>
    <sheetView topLeftCell="A19" zoomScaleNormal="100" workbookViewId="0">
      <selection activeCell="F28" sqref="F28"/>
    </sheetView>
  </sheetViews>
  <sheetFormatPr defaultRowHeight="15" x14ac:dyDescent="0.25"/>
  <cols>
    <col min="1" max="3" width="9.140625" style="3"/>
    <col min="4" max="4" width="9.28515625" style="3" customWidth="1"/>
    <col min="5" max="5" width="10.140625" style="3" customWidth="1"/>
    <col min="6" max="6" width="12.140625" style="3" customWidth="1"/>
    <col min="7" max="7" width="11" style="3" customWidth="1"/>
    <col min="8" max="8" width="71.5703125" style="3" customWidth="1"/>
    <col min="9" max="16384" width="9.140625" style="3"/>
  </cols>
  <sheetData>
    <row r="2" spans="5:8" ht="15.75" thickBot="1" x14ac:dyDescent="0.3"/>
    <row r="3" spans="5:8" ht="15.75" thickBot="1" x14ac:dyDescent="0.3">
      <c r="E3" s="27" t="s">
        <v>14</v>
      </c>
      <c r="F3" s="28"/>
      <c r="G3" s="28"/>
      <c r="H3" s="28"/>
    </row>
    <row r="4" spans="5:8" ht="15.75" thickBot="1" x14ac:dyDescent="0.3">
      <c r="E4" s="1" t="s">
        <v>0</v>
      </c>
      <c r="F4" s="1" t="s">
        <v>1</v>
      </c>
      <c r="G4" s="1" t="s">
        <v>2</v>
      </c>
      <c r="H4" s="1" t="s">
        <v>3</v>
      </c>
    </row>
    <row r="5" spans="5:8" ht="120.75" thickBot="1" x14ac:dyDescent="0.3">
      <c r="E5" s="4">
        <v>1</v>
      </c>
      <c r="F5" s="4">
        <v>1000</v>
      </c>
      <c r="G5" s="7" t="s">
        <v>15</v>
      </c>
      <c r="H5" s="2" t="s">
        <v>22</v>
      </c>
    </row>
    <row r="6" spans="5:8" ht="120.75" thickBot="1" x14ac:dyDescent="0.3">
      <c r="E6" s="4">
        <v>2</v>
      </c>
      <c r="F6" s="4">
        <v>1000</v>
      </c>
      <c r="G6" s="7" t="s">
        <v>15</v>
      </c>
      <c r="H6" s="2" t="s">
        <v>16</v>
      </c>
    </row>
    <row r="7" spans="5:8" ht="75.75" thickBot="1" x14ac:dyDescent="0.3">
      <c r="E7" s="4">
        <v>3</v>
      </c>
      <c r="F7" s="4">
        <v>1</v>
      </c>
      <c r="G7" s="7" t="s">
        <v>20</v>
      </c>
      <c r="H7" s="2" t="s">
        <v>17</v>
      </c>
    </row>
    <row r="8" spans="5:8" ht="90.75" thickBot="1" x14ac:dyDescent="0.3">
      <c r="E8" s="4">
        <v>4</v>
      </c>
      <c r="F8" s="4">
        <v>4</v>
      </c>
      <c r="G8" s="7" t="s">
        <v>19</v>
      </c>
      <c r="H8" s="2" t="s">
        <v>18</v>
      </c>
    </row>
    <row r="9" spans="5:8" ht="15.75" thickBot="1" x14ac:dyDescent="0.3"/>
    <row r="10" spans="5:8" ht="15.75" thickBot="1" x14ac:dyDescent="0.3">
      <c r="E10" s="27" t="s">
        <v>24</v>
      </c>
      <c r="F10" s="28"/>
      <c r="G10" s="28"/>
      <c r="H10" s="28"/>
    </row>
    <row r="11" spans="5:8" ht="15.75" thickBot="1" x14ac:dyDescent="0.3">
      <c r="E11" s="1" t="s">
        <v>0</v>
      </c>
      <c r="F11" s="1" t="s">
        <v>1</v>
      </c>
      <c r="G11" s="1" t="s">
        <v>2</v>
      </c>
      <c r="H11" s="1" t="s">
        <v>3</v>
      </c>
    </row>
    <row r="12" spans="5:8" ht="45.75" thickBot="1" x14ac:dyDescent="0.3">
      <c r="E12" s="8">
        <v>1</v>
      </c>
      <c r="F12" s="13">
        <v>200</v>
      </c>
      <c r="G12" s="13" t="s">
        <v>25</v>
      </c>
      <c r="H12" s="19" t="s">
        <v>62</v>
      </c>
    </row>
    <row r="13" spans="5:8" ht="15.75" thickBot="1" x14ac:dyDescent="0.3">
      <c r="E13" s="8">
        <v>2</v>
      </c>
      <c r="F13" s="13">
        <v>1</v>
      </c>
      <c r="G13" s="13" t="s">
        <v>27</v>
      </c>
      <c r="H13" s="19" t="s">
        <v>63</v>
      </c>
    </row>
    <row r="14" spans="5:8" ht="30.75" thickBot="1" x14ac:dyDescent="0.3">
      <c r="E14" s="8">
        <v>3</v>
      </c>
      <c r="F14" s="13">
        <v>4</v>
      </c>
      <c r="G14" s="13" t="s">
        <v>25</v>
      </c>
      <c r="H14" s="19" t="s">
        <v>64</v>
      </c>
    </row>
    <row r="15" spans="5:8" ht="30.75" thickBot="1" x14ac:dyDescent="0.3">
      <c r="E15" s="8">
        <v>4</v>
      </c>
      <c r="F15" s="13">
        <v>4</v>
      </c>
      <c r="G15" s="13" t="s">
        <v>25</v>
      </c>
      <c r="H15" s="19" t="s">
        <v>65</v>
      </c>
    </row>
    <row r="16" spans="5:8" ht="45.75" thickBot="1" x14ac:dyDescent="0.3">
      <c r="E16" s="8">
        <v>5</v>
      </c>
      <c r="F16" s="13">
        <v>3</v>
      </c>
      <c r="G16" s="17" t="s">
        <v>30</v>
      </c>
      <c r="H16" s="19" t="s">
        <v>76</v>
      </c>
    </row>
    <row r="17" spans="5:8" ht="45.75" thickBot="1" x14ac:dyDescent="0.3">
      <c r="E17" s="8">
        <v>6</v>
      </c>
      <c r="F17" s="13">
        <v>3</v>
      </c>
      <c r="G17" s="17" t="s">
        <v>30</v>
      </c>
      <c r="H17" s="19" t="s">
        <v>77</v>
      </c>
    </row>
    <row r="18" spans="5:8" ht="45.75" thickBot="1" x14ac:dyDescent="0.3">
      <c r="E18" s="8">
        <v>7</v>
      </c>
      <c r="F18" s="13">
        <v>3</v>
      </c>
      <c r="G18" s="17" t="s">
        <v>30</v>
      </c>
      <c r="H18" s="19" t="s">
        <v>78</v>
      </c>
    </row>
    <row r="19" spans="5:8" ht="45.75" thickBot="1" x14ac:dyDescent="0.3">
      <c r="E19" s="8">
        <v>8</v>
      </c>
      <c r="F19" s="13">
        <v>5</v>
      </c>
      <c r="G19" s="17" t="s">
        <v>30</v>
      </c>
      <c r="H19" s="19" t="s">
        <v>79</v>
      </c>
    </row>
    <row r="20" spans="5:8" ht="45.75" thickBot="1" x14ac:dyDescent="0.3">
      <c r="E20" s="8">
        <v>9</v>
      </c>
      <c r="F20" s="13">
        <v>5</v>
      </c>
      <c r="G20" s="17" t="s">
        <v>30</v>
      </c>
      <c r="H20" s="19" t="s">
        <v>80</v>
      </c>
    </row>
    <row r="21" spans="5:8" ht="45.75" thickBot="1" x14ac:dyDescent="0.3">
      <c r="E21" s="8">
        <v>10</v>
      </c>
      <c r="F21" s="13">
        <v>5</v>
      </c>
      <c r="G21" s="17" t="s">
        <v>30</v>
      </c>
      <c r="H21" s="19" t="s">
        <v>81</v>
      </c>
    </row>
    <row r="22" spans="5:8" ht="30.75" thickBot="1" x14ac:dyDescent="0.3">
      <c r="E22" s="8">
        <v>11</v>
      </c>
      <c r="F22" s="13">
        <v>4</v>
      </c>
      <c r="G22" s="13" t="s">
        <v>25</v>
      </c>
      <c r="H22" s="19" t="s">
        <v>67</v>
      </c>
    </row>
    <row r="23" spans="5:8" ht="15.75" thickBot="1" x14ac:dyDescent="0.3">
      <c r="E23" s="8">
        <v>12</v>
      </c>
      <c r="F23" s="13">
        <v>5</v>
      </c>
      <c r="G23" s="13" t="s">
        <v>25</v>
      </c>
      <c r="H23" s="19" t="s">
        <v>38</v>
      </c>
    </row>
    <row r="24" spans="5:8" ht="15.75" thickBot="1" x14ac:dyDescent="0.3">
      <c r="E24" s="8">
        <v>13</v>
      </c>
      <c r="F24" s="13">
        <v>4</v>
      </c>
      <c r="G24" s="13" t="s">
        <v>25</v>
      </c>
      <c r="H24" s="19" t="s">
        <v>66</v>
      </c>
    </row>
    <row r="25" spans="5:8" ht="30.75" thickBot="1" x14ac:dyDescent="0.3">
      <c r="E25" s="9">
        <v>14</v>
      </c>
      <c r="F25" s="13">
        <v>1</v>
      </c>
      <c r="G25" s="13" t="s">
        <v>25</v>
      </c>
      <c r="H25" s="19" t="s">
        <v>40</v>
      </c>
    </row>
    <row r="26" spans="5:8" ht="30.75" thickBot="1" x14ac:dyDescent="0.3">
      <c r="E26" s="9">
        <v>15</v>
      </c>
      <c r="F26" s="13">
        <v>40</v>
      </c>
      <c r="G26" s="13" t="s">
        <v>25</v>
      </c>
      <c r="H26" s="19" t="s">
        <v>41</v>
      </c>
    </row>
    <row r="27" spans="5:8" ht="30.75" thickBot="1" x14ac:dyDescent="0.3">
      <c r="E27" s="9">
        <v>16</v>
      </c>
      <c r="F27" s="13">
        <v>1</v>
      </c>
      <c r="G27" s="13" t="s">
        <v>25</v>
      </c>
      <c r="H27" s="19" t="s">
        <v>68</v>
      </c>
    </row>
    <row r="28" spans="5:8" ht="15.75" thickBot="1" x14ac:dyDescent="0.3">
      <c r="E28" s="9">
        <v>17</v>
      </c>
      <c r="F28" s="13">
        <v>8</v>
      </c>
      <c r="G28" s="13" t="s">
        <v>25</v>
      </c>
      <c r="H28" s="19" t="s">
        <v>82</v>
      </c>
    </row>
    <row r="29" spans="5:8" ht="15.75" thickBot="1" x14ac:dyDescent="0.3">
      <c r="E29" s="8">
        <v>18</v>
      </c>
      <c r="F29" s="13">
        <v>3</v>
      </c>
      <c r="G29" s="13" t="s">
        <v>25</v>
      </c>
      <c r="H29" s="19" t="s">
        <v>44</v>
      </c>
    </row>
    <row r="30" spans="5:8" ht="30.75" thickBot="1" x14ac:dyDescent="0.3">
      <c r="E30" s="8">
        <v>19</v>
      </c>
      <c r="F30" s="13">
        <v>2</v>
      </c>
      <c r="G30" s="13" t="s">
        <v>25</v>
      </c>
      <c r="H30" s="19" t="s">
        <v>69</v>
      </c>
    </row>
    <row r="31" spans="5:8" ht="30.75" thickBot="1" x14ac:dyDescent="0.3">
      <c r="E31" s="8">
        <v>20</v>
      </c>
      <c r="F31" s="13">
        <v>4</v>
      </c>
      <c r="G31" s="13" t="s">
        <v>25</v>
      </c>
      <c r="H31" s="19" t="s">
        <v>46</v>
      </c>
    </row>
    <row r="32" spans="5:8" ht="15.75" thickBot="1" x14ac:dyDescent="0.3">
      <c r="E32" s="8">
        <v>21</v>
      </c>
      <c r="F32" s="13">
        <v>1</v>
      </c>
      <c r="G32" s="13" t="s">
        <v>25</v>
      </c>
      <c r="H32" s="19" t="s">
        <v>83</v>
      </c>
    </row>
    <row r="33" spans="5:8" ht="15.75" thickBot="1" x14ac:dyDescent="0.3">
      <c r="E33" s="8">
        <v>22</v>
      </c>
      <c r="F33" s="13">
        <v>1</v>
      </c>
      <c r="G33" s="13" t="s">
        <v>25</v>
      </c>
      <c r="H33" s="19" t="s">
        <v>84</v>
      </c>
    </row>
    <row r="34" spans="5:8" ht="15.75" thickBot="1" x14ac:dyDescent="0.3">
      <c r="E34" s="8">
        <v>23</v>
      </c>
      <c r="F34" s="13">
        <v>1</v>
      </c>
      <c r="G34" s="13" t="s">
        <v>25</v>
      </c>
      <c r="H34" s="19" t="s">
        <v>85</v>
      </c>
    </row>
    <row r="35" spans="5:8" ht="30.75" thickBot="1" x14ac:dyDescent="0.3">
      <c r="E35" s="8">
        <v>24</v>
      </c>
      <c r="F35" s="13">
        <v>1</v>
      </c>
      <c r="G35" s="13" t="s">
        <v>25</v>
      </c>
      <c r="H35" s="19" t="s">
        <v>50</v>
      </c>
    </row>
    <row r="36" spans="5:8" ht="30.75" thickBot="1" x14ac:dyDescent="0.3">
      <c r="E36" s="8">
        <v>25</v>
      </c>
      <c r="F36" s="13">
        <v>2</v>
      </c>
      <c r="G36" s="13" t="s">
        <v>25</v>
      </c>
      <c r="H36" s="19" t="s">
        <v>51</v>
      </c>
    </row>
    <row r="37" spans="5:8" ht="30.75" thickBot="1" x14ac:dyDescent="0.3">
      <c r="E37" s="8">
        <v>26</v>
      </c>
      <c r="F37" s="13">
        <v>2</v>
      </c>
      <c r="G37" s="13" t="s">
        <v>25</v>
      </c>
      <c r="H37" s="19" t="s">
        <v>52</v>
      </c>
    </row>
    <row r="38" spans="5:8" ht="31.5" thickBot="1" x14ac:dyDescent="0.3">
      <c r="E38" s="8">
        <v>27</v>
      </c>
      <c r="F38" s="13">
        <v>4</v>
      </c>
      <c r="G38" s="13" t="s">
        <v>25</v>
      </c>
      <c r="H38" s="19" t="s">
        <v>53</v>
      </c>
    </row>
    <row r="39" spans="5:8" ht="15.75" thickBot="1" x14ac:dyDescent="0.3">
      <c r="E39" s="8">
        <v>28</v>
      </c>
      <c r="F39" s="13">
        <v>4</v>
      </c>
      <c r="G39" s="13" t="s">
        <v>25</v>
      </c>
      <c r="H39" s="20" t="s">
        <v>54</v>
      </c>
    </row>
    <row r="40" spans="5:8" ht="15.75" thickBot="1" x14ac:dyDescent="0.3">
      <c r="E40" s="8">
        <v>29</v>
      </c>
      <c r="F40" s="13">
        <v>2</v>
      </c>
      <c r="G40" s="13" t="s">
        <v>25</v>
      </c>
      <c r="H40" s="20" t="s">
        <v>70</v>
      </c>
    </row>
    <row r="41" spans="5:8" ht="30.75" thickBot="1" x14ac:dyDescent="0.3">
      <c r="E41" s="9">
        <v>30</v>
      </c>
      <c r="F41" s="13">
        <v>3</v>
      </c>
      <c r="G41" s="13" t="s">
        <v>25</v>
      </c>
      <c r="H41" s="20" t="s">
        <v>71</v>
      </c>
    </row>
    <row r="42" spans="5:8" ht="15.75" thickBot="1" x14ac:dyDescent="0.3">
      <c r="E42" s="9">
        <v>31</v>
      </c>
      <c r="F42" s="13">
        <v>10</v>
      </c>
      <c r="G42" s="13" t="s">
        <v>25</v>
      </c>
      <c r="H42" s="20" t="s">
        <v>72</v>
      </c>
    </row>
    <row r="43" spans="5:8" ht="15.75" thickBot="1" x14ac:dyDescent="0.3">
      <c r="E43" s="9">
        <v>32</v>
      </c>
      <c r="F43" s="13">
        <v>4</v>
      </c>
      <c r="G43" s="13" t="s">
        <v>25</v>
      </c>
      <c r="H43" s="20" t="s">
        <v>73</v>
      </c>
    </row>
    <row r="44" spans="5:8" ht="45.75" thickBot="1" x14ac:dyDescent="0.3">
      <c r="E44" s="9">
        <v>33</v>
      </c>
      <c r="F44" s="13">
        <v>1</v>
      </c>
      <c r="G44" s="13" t="s">
        <v>25</v>
      </c>
      <c r="H44" s="20" t="s">
        <v>59</v>
      </c>
    </row>
    <row r="45" spans="5:8" ht="30.75" thickBot="1" x14ac:dyDescent="0.3">
      <c r="E45" s="9">
        <v>34</v>
      </c>
      <c r="F45" s="13">
        <v>2</v>
      </c>
      <c r="G45" s="13" t="s">
        <v>25</v>
      </c>
      <c r="H45" s="20" t="s">
        <v>86</v>
      </c>
    </row>
    <row r="46" spans="5:8" ht="105.75" thickBot="1" x14ac:dyDescent="0.3">
      <c r="E46" s="9">
        <v>35</v>
      </c>
      <c r="F46" s="13">
        <v>3</v>
      </c>
      <c r="G46" s="13" t="s">
        <v>25</v>
      </c>
      <c r="H46" s="20" t="s">
        <v>87</v>
      </c>
    </row>
    <row r="47" spans="5:8" ht="90.75" thickBot="1" x14ac:dyDescent="0.3">
      <c r="E47" s="9">
        <v>36</v>
      </c>
      <c r="F47" s="13">
        <v>1</v>
      </c>
      <c r="G47" s="13" t="s">
        <v>25</v>
      </c>
      <c r="H47" s="20" t="s">
        <v>74</v>
      </c>
    </row>
    <row r="48" spans="5:8" ht="15.75" thickBot="1" x14ac:dyDescent="0.3">
      <c r="E48" s="30" t="s">
        <v>23</v>
      </c>
      <c r="F48" s="31"/>
      <c r="G48" s="31"/>
      <c r="H48" s="31"/>
    </row>
  </sheetData>
  <mergeCells count="3">
    <mergeCell ref="E3:H3"/>
    <mergeCell ref="E10:H10"/>
    <mergeCell ref="E48:H48"/>
  </mergeCells>
  <pageMargins left="0.7" right="0.7" top="0.75" bottom="0.75" header="0.3" footer="0.3"/>
  <pageSetup paperSize="9"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1C6F-1FA8-42D4-A296-2CB10358F8CC}">
  <sheetPr>
    <pageSetUpPr fitToPage="1"/>
  </sheetPr>
  <dimension ref="A2:Q49"/>
  <sheetViews>
    <sheetView topLeftCell="A25" zoomScaleNormal="100" workbookViewId="0">
      <selection activeCell="F29" sqref="F29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9.140625" style="3"/>
    <col min="4" max="4" width="9.28515625" style="3" customWidth="1"/>
    <col min="5" max="5" width="10.140625" style="3" customWidth="1"/>
    <col min="6" max="6" width="12.140625" style="3" customWidth="1"/>
    <col min="7" max="7" width="11" style="3" customWidth="1"/>
    <col min="8" max="8" width="64" style="3" customWidth="1"/>
    <col min="9" max="9" width="12" style="3" hidden="1" customWidth="1"/>
    <col min="10" max="10" width="9.7109375" style="3" hidden="1" customWidth="1"/>
    <col min="11" max="11" width="10.7109375" style="3" hidden="1" customWidth="1"/>
    <col min="12" max="12" width="7" style="3" hidden="1" customWidth="1"/>
    <col min="13" max="13" width="10.7109375" style="3" hidden="1" customWidth="1"/>
    <col min="14" max="14" width="10.28515625" style="3" hidden="1" customWidth="1"/>
    <col min="15" max="15" width="15.140625" style="3" customWidth="1"/>
    <col min="16" max="16" width="16.42578125" style="3" customWidth="1"/>
    <col min="17" max="16384" width="9.140625" style="3"/>
  </cols>
  <sheetData>
    <row r="2" spans="1:17" ht="15.75" thickBot="1" x14ac:dyDescent="0.3"/>
    <row r="3" spans="1:17" ht="15.75" thickBot="1" x14ac:dyDescent="0.3">
      <c r="A3" s="3" t="s">
        <v>14</v>
      </c>
      <c r="B3" s="22">
        <f>P9</f>
        <v>14842.03</v>
      </c>
      <c r="E3" s="27" t="s">
        <v>14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</row>
    <row r="4" spans="1:17" ht="30.75" thickBot="1" x14ac:dyDescent="0.3">
      <c r="A4" s="3" t="s">
        <v>24</v>
      </c>
      <c r="B4" s="22">
        <f>P49</f>
        <v>11193.66</v>
      </c>
      <c r="E4" s="24" t="s">
        <v>0</v>
      </c>
      <c r="F4" s="24" t="s">
        <v>1</v>
      </c>
      <c r="G4" s="24" t="s">
        <v>2</v>
      </c>
      <c r="H4" s="1" t="s">
        <v>3</v>
      </c>
      <c r="I4" s="1" t="s">
        <v>7</v>
      </c>
      <c r="J4" s="1" t="s">
        <v>8</v>
      </c>
      <c r="K4" s="1" t="s">
        <v>9</v>
      </c>
      <c r="L4" s="1" t="s">
        <v>8</v>
      </c>
      <c r="M4" s="1" t="s">
        <v>10</v>
      </c>
      <c r="N4" s="1" t="s">
        <v>8</v>
      </c>
      <c r="O4" s="23" t="s">
        <v>4</v>
      </c>
      <c r="P4" s="23" t="s">
        <v>88</v>
      </c>
    </row>
    <row r="5" spans="1:17" ht="135.75" thickBot="1" x14ac:dyDescent="0.3">
      <c r="B5" s="22">
        <f>SUM(B3:B4)</f>
        <v>26035.690000000002</v>
      </c>
      <c r="E5" s="4">
        <v>1</v>
      </c>
      <c r="F5" s="4">
        <v>1000</v>
      </c>
      <c r="G5" s="7" t="s">
        <v>15</v>
      </c>
      <c r="H5" s="2" t="s">
        <v>22</v>
      </c>
      <c r="I5" s="5">
        <v>4.49</v>
      </c>
      <c r="J5" s="6" t="s">
        <v>13</v>
      </c>
      <c r="K5" s="5">
        <v>3.78</v>
      </c>
      <c r="L5" s="6" t="s">
        <v>13</v>
      </c>
      <c r="M5" s="5">
        <v>5.28</v>
      </c>
      <c r="N5" s="6" t="s">
        <v>13</v>
      </c>
      <c r="O5" s="5">
        <f>ROUND(AVERAGE(M5,K5,I5),2)</f>
        <v>4.5199999999999996</v>
      </c>
      <c r="P5" s="5">
        <f>F5*O5</f>
        <v>4520</v>
      </c>
    </row>
    <row r="6" spans="1:17" ht="135.75" thickBot="1" x14ac:dyDescent="0.3">
      <c r="E6" s="4">
        <v>2</v>
      </c>
      <c r="F6" s="4">
        <v>1000</v>
      </c>
      <c r="G6" s="7" t="s">
        <v>15</v>
      </c>
      <c r="H6" s="2" t="s">
        <v>16</v>
      </c>
      <c r="I6" s="5">
        <v>8.85</v>
      </c>
      <c r="J6" s="6" t="s">
        <v>13</v>
      </c>
      <c r="K6" s="5">
        <v>9.1199999999999992</v>
      </c>
      <c r="L6" s="6" t="s">
        <v>13</v>
      </c>
      <c r="M6" s="5">
        <f>460/50</f>
        <v>9.1999999999999993</v>
      </c>
      <c r="N6" s="6" t="s">
        <v>13</v>
      </c>
      <c r="O6" s="5">
        <f t="shared" ref="O6:O8" si="0">ROUND(AVERAGE(M6,K6,I6),2)</f>
        <v>9.06</v>
      </c>
      <c r="P6" s="5">
        <f t="shared" ref="P6:P8" si="1">F6*O6</f>
        <v>9060</v>
      </c>
      <c r="Q6" s="25" t="s">
        <v>89</v>
      </c>
    </row>
    <row r="7" spans="1:17" ht="90.75" thickBot="1" x14ac:dyDescent="0.3">
      <c r="E7" s="4">
        <v>3</v>
      </c>
      <c r="F7" s="4">
        <v>1</v>
      </c>
      <c r="G7" s="7" t="s">
        <v>20</v>
      </c>
      <c r="H7" s="2" t="s">
        <v>17</v>
      </c>
      <c r="I7" s="5">
        <v>161.63</v>
      </c>
      <c r="J7" s="6" t="s">
        <v>13</v>
      </c>
      <c r="K7" s="5">
        <v>455.7</v>
      </c>
      <c r="L7" s="6" t="s">
        <v>13</v>
      </c>
      <c r="M7" s="5">
        <v>249.99</v>
      </c>
      <c r="N7" s="6" t="s">
        <v>13</v>
      </c>
      <c r="O7" s="5">
        <f t="shared" si="0"/>
        <v>289.11</v>
      </c>
      <c r="P7" s="5">
        <f t="shared" si="1"/>
        <v>289.11</v>
      </c>
    </row>
    <row r="8" spans="1:17" ht="90.75" thickBot="1" x14ac:dyDescent="0.3">
      <c r="E8" s="4">
        <v>4</v>
      </c>
      <c r="F8" s="4">
        <v>4</v>
      </c>
      <c r="G8" s="7" t="s">
        <v>19</v>
      </c>
      <c r="H8" s="2" t="s">
        <v>18</v>
      </c>
      <c r="I8" s="5">
        <v>207.69</v>
      </c>
      <c r="J8" s="6" t="s">
        <v>13</v>
      </c>
      <c r="K8" s="5">
        <f>100*2.23</f>
        <v>223</v>
      </c>
      <c r="L8" s="6" t="s">
        <v>13</v>
      </c>
      <c r="M8" s="5">
        <v>299</v>
      </c>
      <c r="N8" s="6" t="s">
        <v>13</v>
      </c>
      <c r="O8" s="5">
        <f t="shared" si="0"/>
        <v>243.23</v>
      </c>
      <c r="P8" s="5">
        <f t="shared" si="1"/>
        <v>972.92</v>
      </c>
    </row>
    <row r="9" spans="1:17" ht="15.75" thickBot="1" x14ac:dyDescent="0.3">
      <c r="E9" s="30" t="s">
        <v>21</v>
      </c>
      <c r="F9" s="31"/>
      <c r="G9" s="31"/>
      <c r="H9" s="31"/>
      <c r="I9" s="31"/>
      <c r="J9" s="31"/>
      <c r="K9" s="31"/>
      <c r="L9" s="31"/>
      <c r="M9" s="31"/>
      <c r="N9" s="31"/>
      <c r="O9" s="32"/>
      <c r="P9" s="5">
        <f>SUM(P5:P8)</f>
        <v>14842.03</v>
      </c>
    </row>
    <row r="10" spans="1:17" ht="15.75" thickBot="1" x14ac:dyDescent="0.3"/>
    <row r="11" spans="1:17" ht="15.75" thickBot="1" x14ac:dyDescent="0.3">
      <c r="E11" s="27" t="s">
        <v>24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</row>
    <row r="12" spans="1:17" ht="15.75" thickBot="1" x14ac:dyDescent="0.3">
      <c r="E12" s="1" t="s">
        <v>0</v>
      </c>
      <c r="F12" s="1" t="s">
        <v>1</v>
      </c>
      <c r="G12" s="1" t="s">
        <v>2</v>
      </c>
      <c r="H12" s="1" t="s">
        <v>3</v>
      </c>
      <c r="I12" s="1" t="s">
        <v>7</v>
      </c>
      <c r="J12" s="1" t="s">
        <v>8</v>
      </c>
      <c r="K12" s="1" t="s">
        <v>9</v>
      </c>
      <c r="L12" s="1" t="s">
        <v>8</v>
      </c>
      <c r="M12" s="1" t="s">
        <v>10</v>
      </c>
      <c r="N12" s="1" t="s">
        <v>8</v>
      </c>
      <c r="O12" s="1" t="s">
        <v>11</v>
      </c>
      <c r="P12" s="1" t="s">
        <v>12</v>
      </c>
    </row>
    <row r="13" spans="1:17" ht="45.75" thickBot="1" x14ac:dyDescent="0.3">
      <c r="E13" s="8">
        <v>1</v>
      </c>
      <c r="F13" s="13">
        <v>200</v>
      </c>
      <c r="G13" s="13" t="s">
        <v>25</v>
      </c>
      <c r="H13" s="19" t="s">
        <v>62</v>
      </c>
      <c r="I13" s="5">
        <v>6.96</v>
      </c>
      <c r="J13" s="6" t="s">
        <v>13</v>
      </c>
      <c r="K13" s="5">
        <v>12.9</v>
      </c>
      <c r="L13" s="6" t="s">
        <v>13</v>
      </c>
      <c r="M13" s="5">
        <v>7.8</v>
      </c>
      <c r="N13" s="6" t="s">
        <v>13</v>
      </c>
      <c r="O13" s="5">
        <f t="shared" ref="O13:O25" si="2">ROUND(AVERAGE(M13,K13,I13),2)</f>
        <v>9.2200000000000006</v>
      </c>
      <c r="P13" s="5">
        <f t="shared" ref="P13:P46" si="3">F13*O13</f>
        <v>1844.0000000000002</v>
      </c>
    </row>
    <row r="14" spans="1:17" ht="15.75" thickBot="1" x14ac:dyDescent="0.3">
      <c r="E14" s="8">
        <v>2</v>
      </c>
      <c r="F14" s="13">
        <v>1</v>
      </c>
      <c r="G14" s="13" t="s">
        <v>27</v>
      </c>
      <c r="H14" s="19" t="s">
        <v>63</v>
      </c>
      <c r="I14" s="5">
        <v>7.49</v>
      </c>
      <c r="J14" s="6" t="s">
        <v>13</v>
      </c>
      <c r="K14" s="5">
        <v>8.5</v>
      </c>
      <c r="L14" s="6" t="s">
        <v>13</v>
      </c>
      <c r="M14" s="5">
        <v>5.8</v>
      </c>
      <c r="N14" s="6" t="s">
        <v>13</v>
      </c>
      <c r="O14" s="5">
        <f t="shared" si="2"/>
        <v>7.26</v>
      </c>
      <c r="P14" s="5">
        <f t="shared" si="3"/>
        <v>7.26</v>
      </c>
    </row>
    <row r="15" spans="1:17" ht="30.75" thickBot="1" x14ac:dyDescent="0.3">
      <c r="E15" s="8">
        <v>3</v>
      </c>
      <c r="F15" s="13">
        <v>4</v>
      </c>
      <c r="G15" s="13" t="s">
        <v>25</v>
      </c>
      <c r="H15" s="19" t="s">
        <v>64</v>
      </c>
      <c r="I15" s="5">
        <v>12.2</v>
      </c>
      <c r="J15" s="6" t="s">
        <v>13</v>
      </c>
      <c r="K15" s="5">
        <v>15</v>
      </c>
      <c r="L15" s="6" t="s">
        <v>13</v>
      </c>
      <c r="M15" s="5">
        <v>16.489999999999998</v>
      </c>
      <c r="N15" s="6" t="s">
        <v>13</v>
      </c>
      <c r="O15" s="5">
        <f t="shared" si="2"/>
        <v>14.56</v>
      </c>
      <c r="P15" s="5">
        <f t="shared" si="3"/>
        <v>58.24</v>
      </c>
    </row>
    <row r="16" spans="1:17" ht="30.75" thickBot="1" x14ac:dyDescent="0.3">
      <c r="E16" s="8">
        <v>4</v>
      </c>
      <c r="F16" s="13">
        <v>4</v>
      </c>
      <c r="G16" s="13" t="s">
        <v>25</v>
      </c>
      <c r="H16" s="19" t="s">
        <v>65</v>
      </c>
      <c r="I16" s="5">
        <v>12.2</v>
      </c>
      <c r="J16" s="6" t="s">
        <v>13</v>
      </c>
      <c r="K16" s="5">
        <v>15</v>
      </c>
      <c r="L16" s="6" t="s">
        <v>13</v>
      </c>
      <c r="M16" s="5">
        <v>16.489999999999998</v>
      </c>
      <c r="N16" s="6" t="s">
        <v>13</v>
      </c>
      <c r="O16" s="5">
        <f t="shared" si="2"/>
        <v>14.56</v>
      </c>
      <c r="P16" s="5">
        <f t="shared" si="3"/>
        <v>58.24</v>
      </c>
    </row>
    <row r="17" spans="5:16" ht="45.75" thickBot="1" x14ac:dyDescent="0.3">
      <c r="E17" s="8">
        <v>5</v>
      </c>
      <c r="F17" s="13">
        <v>3</v>
      </c>
      <c r="G17" s="17" t="s">
        <v>30</v>
      </c>
      <c r="H17" s="19" t="s">
        <v>76</v>
      </c>
      <c r="I17" s="5">
        <v>0.98</v>
      </c>
      <c r="J17" s="6" t="s">
        <v>13</v>
      </c>
      <c r="K17" s="5">
        <f>163/100</f>
        <v>1.63</v>
      </c>
      <c r="L17" s="6" t="s">
        <v>13</v>
      </c>
      <c r="M17" s="5">
        <f>33.15/30</f>
        <v>1.105</v>
      </c>
      <c r="N17" s="6" t="s">
        <v>13</v>
      </c>
      <c r="O17" s="5">
        <f t="shared" si="2"/>
        <v>1.24</v>
      </c>
      <c r="P17" s="5">
        <f t="shared" si="3"/>
        <v>3.7199999999999998</v>
      </c>
    </row>
    <row r="18" spans="5:16" ht="45.75" thickBot="1" x14ac:dyDescent="0.3">
      <c r="E18" s="8">
        <v>6</v>
      </c>
      <c r="F18" s="13">
        <v>3</v>
      </c>
      <c r="G18" s="17" t="s">
        <v>30</v>
      </c>
      <c r="H18" s="19" t="s">
        <v>77</v>
      </c>
      <c r="I18" s="5">
        <v>0.98</v>
      </c>
      <c r="J18" s="6" t="s">
        <v>13</v>
      </c>
      <c r="K18" s="5">
        <f t="shared" ref="K18:K22" si="4">163/100</f>
        <v>1.63</v>
      </c>
      <c r="L18" s="6" t="s">
        <v>13</v>
      </c>
      <c r="M18" s="5">
        <f t="shared" ref="M18:M22" si="5">33.15/30</f>
        <v>1.105</v>
      </c>
      <c r="N18" s="6" t="s">
        <v>13</v>
      </c>
      <c r="O18" s="5">
        <f t="shared" si="2"/>
        <v>1.24</v>
      </c>
      <c r="P18" s="5">
        <f t="shared" si="3"/>
        <v>3.7199999999999998</v>
      </c>
    </row>
    <row r="19" spans="5:16" ht="45.75" thickBot="1" x14ac:dyDescent="0.3">
      <c r="E19" s="8">
        <v>7</v>
      </c>
      <c r="F19" s="13">
        <v>3</v>
      </c>
      <c r="G19" s="17" t="s">
        <v>30</v>
      </c>
      <c r="H19" s="19" t="s">
        <v>78</v>
      </c>
      <c r="I19" s="5">
        <v>0.98</v>
      </c>
      <c r="J19" s="6" t="s">
        <v>13</v>
      </c>
      <c r="K19" s="5">
        <f t="shared" si="4"/>
        <v>1.63</v>
      </c>
      <c r="L19" s="6" t="s">
        <v>13</v>
      </c>
      <c r="M19" s="5">
        <f t="shared" si="5"/>
        <v>1.105</v>
      </c>
      <c r="N19" s="6" t="s">
        <v>13</v>
      </c>
      <c r="O19" s="5">
        <f t="shared" si="2"/>
        <v>1.24</v>
      </c>
      <c r="P19" s="5">
        <f t="shared" si="3"/>
        <v>3.7199999999999998</v>
      </c>
    </row>
    <row r="20" spans="5:16" ht="45.75" thickBot="1" x14ac:dyDescent="0.3">
      <c r="E20" s="8">
        <v>8</v>
      </c>
      <c r="F20" s="13">
        <v>5</v>
      </c>
      <c r="G20" s="17" t="s">
        <v>30</v>
      </c>
      <c r="H20" s="19" t="s">
        <v>79</v>
      </c>
      <c r="I20" s="5">
        <v>0.98</v>
      </c>
      <c r="J20" s="6" t="s">
        <v>13</v>
      </c>
      <c r="K20" s="5">
        <f t="shared" si="4"/>
        <v>1.63</v>
      </c>
      <c r="L20" s="6" t="s">
        <v>13</v>
      </c>
      <c r="M20" s="5">
        <f t="shared" si="5"/>
        <v>1.105</v>
      </c>
      <c r="N20" s="6" t="s">
        <v>13</v>
      </c>
      <c r="O20" s="5">
        <f t="shared" si="2"/>
        <v>1.24</v>
      </c>
      <c r="P20" s="5">
        <f t="shared" si="3"/>
        <v>6.2</v>
      </c>
    </row>
    <row r="21" spans="5:16" ht="45.75" thickBot="1" x14ac:dyDescent="0.3">
      <c r="E21" s="8">
        <v>9</v>
      </c>
      <c r="F21" s="13">
        <v>5</v>
      </c>
      <c r="G21" s="17" t="s">
        <v>30</v>
      </c>
      <c r="H21" s="19" t="s">
        <v>80</v>
      </c>
      <c r="I21" s="5">
        <v>0.98</v>
      </c>
      <c r="J21" s="6" t="s">
        <v>13</v>
      </c>
      <c r="K21" s="5">
        <f t="shared" si="4"/>
        <v>1.63</v>
      </c>
      <c r="L21" s="6" t="s">
        <v>13</v>
      </c>
      <c r="M21" s="5">
        <f t="shared" si="5"/>
        <v>1.105</v>
      </c>
      <c r="N21" s="6" t="s">
        <v>13</v>
      </c>
      <c r="O21" s="5">
        <f t="shared" si="2"/>
        <v>1.24</v>
      </c>
      <c r="P21" s="5">
        <f t="shared" si="3"/>
        <v>6.2</v>
      </c>
    </row>
    <row r="22" spans="5:16" ht="45.75" thickBot="1" x14ac:dyDescent="0.3">
      <c r="E22" s="8">
        <v>10</v>
      </c>
      <c r="F22" s="13">
        <v>5</v>
      </c>
      <c r="G22" s="17" t="s">
        <v>30</v>
      </c>
      <c r="H22" s="19" t="s">
        <v>81</v>
      </c>
      <c r="I22" s="5">
        <v>0.98</v>
      </c>
      <c r="J22" s="6" t="s">
        <v>13</v>
      </c>
      <c r="K22" s="5">
        <f t="shared" si="4"/>
        <v>1.63</v>
      </c>
      <c r="L22" s="6" t="s">
        <v>13</v>
      </c>
      <c r="M22" s="5">
        <f t="shared" si="5"/>
        <v>1.105</v>
      </c>
      <c r="N22" s="6" t="s">
        <v>13</v>
      </c>
      <c r="O22" s="5">
        <f t="shared" si="2"/>
        <v>1.24</v>
      </c>
      <c r="P22" s="5">
        <f t="shared" si="3"/>
        <v>6.2</v>
      </c>
    </row>
    <row r="23" spans="5:16" ht="30.75" thickBot="1" x14ac:dyDescent="0.3">
      <c r="E23" s="8">
        <v>11</v>
      </c>
      <c r="F23" s="13">
        <v>4</v>
      </c>
      <c r="G23" s="13" t="s">
        <v>25</v>
      </c>
      <c r="H23" s="19" t="s">
        <v>67</v>
      </c>
      <c r="I23" s="5">
        <v>52.98</v>
      </c>
      <c r="J23" s="6" t="s">
        <v>13</v>
      </c>
      <c r="K23" s="5">
        <v>41</v>
      </c>
      <c r="L23" s="6" t="s">
        <v>13</v>
      </c>
      <c r="M23" s="5">
        <v>70.27</v>
      </c>
      <c r="N23" s="6" t="s">
        <v>13</v>
      </c>
      <c r="O23" s="5">
        <f t="shared" si="2"/>
        <v>54.75</v>
      </c>
      <c r="P23" s="5">
        <f t="shared" si="3"/>
        <v>219</v>
      </c>
    </row>
    <row r="24" spans="5:16" ht="15.75" thickBot="1" x14ac:dyDescent="0.3">
      <c r="E24" s="8">
        <v>12</v>
      </c>
      <c r="F24" s="13">
        <v>5</v>
      </c>
      <c r="G24" s="13" t="s">
        <v>25</v>
      </c>
      <c r="H24" s="19" t="s">
        <v>38</v>
      </c>
      <c r="I24" s="5">
        <v>29.95</v>
      </c>
      <c r="J24" s="6" t="s">
        <v>13</v>
      </c>
      <c r="K24" s="5">
        <v>29.9</v>
      </c>
      <c r="L24" s="6" t="s">
        <v>13</v>
      </c>
      <c r="M24" s="5">
        <v>41</v>
      </c>
      <c r="N24" s="6" t="s">
        <v>13</v>
      </c>
      <c r="O24" s="5">
        <f t="shared" si="2"/>
        <v>33.619999999999997</v>
      </c>
      <c r="P24" s="5">
        <f t="shared" si="3"/>
        <v>168.1</v>
      </c>
    </row>
    <row r="25" spans="5:16" ht="15.75" thickBot="1" x14ac:dyDescent="0.3">
      <c r="E25" s="8">
        <v>13</v>
      </c>
      <c r="F25" s="13">
        <v>4</v>
      </c>
      <c r="G25" s="13" t="s">
        <v>25</v>
      </c>
      <c r="H25" s="19" t="s">
        <v>66</v>
      </c>
      <c r="I25" s="5">
        <v>33.799999999999997</v>
      </c>
      <c r="J25" s="6" t="s">
        <v>13</v>
      </c>
      <c r="K25" s="5">
        <v>54.99</v>
      </c>
      <c r="L25" s="6" t="s">
        <v>13</v>
      </c>
      <c r="M25" s="5">
        <v>37.86</v>
      </c>
      <c r="N25" s="6" t="s">
        <v>13</v>
      </c>
      <c r="O25" s="5">
        <f t="shared" si="2"/>
        <v>42.22</v>
      </c>
      <c r="P25" s="5">
        <f t="shared" si="3"/>
        <v>168.88</v>
      </c>
    </row>
    <row r="26" spans="5:16" ht="30.75" thickBot="1" x14ac:dyDescent="0.3">
      <c r="E26" s="8">
        <v>14</v>
      </c>
      <c r="F26" s="13">
        <v>1</v>
      </c>
      <c r="G26" s="13" t="s">
        <v>25</v>
      </c>
      <c r="H26" s="19" t="s">
        <v>40</v>
      </c>
      <c r="I26" s="5">
        <v>51</v>
      </c>
      <c r="J26" s="6" t="s">
        <v>13</v>
      </c>
      <c r="K26" s="5">
        <v>61.5</v>
      </c>
      <c r="L26" s="6" t="s">
        <v>13</v>
      </c>
      <c r="M26" s="5">
        <v>67</v>
      </c>
      <c r="N26" s="6" t="s">
        <v>13</v>
      </c>
      <c r="O26" s="5">
        <f>ROUND(AVERAGE(M26,K26,I26),2)</f>
        <v>59.83</v>
      </c>
      <c r="P26" s="5">
        <f t="shared" si="3"/>
        <v>59.83</v>
      </c>
    </row>
    <row r="27" spans="5:16" ht="30.75" thickBot="1" x14ac:dyDescent="0.3">
      <c r="E27" s="8">
        <v>15</v>
      </c>
      <c r="F27" s="13">
        <v>40</v>
      </c>
      <c r="G27" s="13" t="s">
        <v>25</v>
      </c>
      <c r="H27" s="19" t="s">
        <v>41</v>
      </c>
      <c r="I27" s="5">
        <v>2.5</v>
      </c>
      <c r="J27" s="6" t="s">
        <v>13</v>
      </c>
      <c r="K27" s="5">
        <v>0.68</v>
      </c>
      <c r="L27" s="6" t="s">
        <v>13</v>
      </c>
      <c r="M27" s="5">
        <f>59.99/50</f>
        <v>1.1998</v>
      </c>
      <c r="N27" s="6" t="s">
        <v>13</v>
      </c>
      <c r="O27" s="5">
        <f t="shared" ref="O27:O41" si="6">ROUND(AVERAGE(M27,K27,I27),2)</f>
        <v>1.46</v>
      </c>
      <c r="P27" s="5">
        <f t="shared" si="3"/>
        <v>58.4</v>
      </c>
    </row>
    <row r="28" spans="5:16" ht="30.75" thickBot="1" x14ac:dyDescent="0.3">
      <c r="E28" s="8">
        <v>16</v>
      </c>
      <c r="F28" s="13">
        <v>1</v>
      </c>
      <c r="G28" s="13" t="s">
        <v>25</v>
      </c>
      <c r="H28" s="19" t="s">
        <v>68</v>
      </c>
      <c r="I28" s="5">
        <f>72.99/3</f>
        <v>24.33</v>
      </c>
      <c r="J28" s="6" t="s">
        <v>13</v>
      </c>
      <c r="K28" s="5">
        <v>20.88</v>
      </c>
      <c r="L28" s="6" t="s">
        <v>13</v>
      </c>
      <c r="M28" s="5">
        <v>20</v>
      </c>
      <c r="N28" s="6" t="s">
        <v>13</v>
      </c>
      <c r="O28" s="5">
        <f t="shared" si="6"/>
        <v>21.74</v>
      </c>
      <c r="P28" s="5">
        <f t="shared" si="3"/>
        <v>21.74</v>
      </c>
    </row>
    <row r="29" spans="5:16" ht="30.75" thickBot="1" x14ac:dyDescent="0.3">
      <c r="E29" s="8">
        <v>17</v>
      </c>
      <c r="F29" s="13">
        <v>8</v>
      </c>
      <c r="G29" s="13" t="s">
        <v>25</v>
      </c>
      <c r="H29" s="19" t="s">
        <v>82</v>
      </c>
      <c r="I29" s="5">
        <v>25</v>
      </c>
      <c r="J29" s="6" t="s">
        <v>13</v>
      </c>
      <c r="K29" s="5">
        <v>18.239999999999998</v>
      </c>
      <c r="L29" s="6" t="s">
        <v>13</v>
      </c>
      <c r="M29" s="5">
        <f>49.5/2</f>
        <v>24.75</v>
      </c>
      <c r="N29" s="6" t="s">
        <v>13</v>
      </c>
      <c r="O29" s="5">
        <f t="shared" si="6"/>
        <v>22.66</v>
      </c>
      <c r="P29" s="5">
        <f t="shared" si="3"/>
        <v>181.28</v>
      </c>
    </row>
    <row r="30" spans="5:16" ht="15.75" thickBot="1" x14ac:dyDescent="0.3">
      <c r="E30" s="8">
        <v>18</v>
      </c>
      <c r="F30" s="13">
        <v>3</v>
      </c>
      <c r="G30" s="13" t="s">
        <v>25</v>
      </c>
      <c r="H30" s="19" t="s">
        <v>44</v>
      </c>
      <c r="I30" s="5">
        <v>51.94</v>
      </c>
      <c r="J30" s="6" t="s">
        <v>13</v>
      </c>
      <c r="K30" s="5">
        <v>40.24</v>
      </c>
      <c r="L30" s="6" t="s">
        <v>13</v>
      </c>
      <c r="M30" s="5">
        <v>28.59</v>
      </c>
      <c r="N30" s="6" t="s">
        <v>13</v>
      </c>
      <c r="O30" s="5">
        <f t="shared" si="6"/>
        <v>40.26</v>
      </c>
      <c r="P30" s="5">
        <f t="shared" si="3"/>
        <v>120.78</v>
      </c>
    </row>
    <row r="31" spans="5:16" ht="30.75" thickBot="1" x14ac:dyDescent="0.3">
      <c r="E31" s="8">
        <v>19</v>
      </c>
      <c r="F31" s="13">
        <v>2</v>
      </c>
      <c r="G31" s="13" t="s">
        <v>25</v>
      </c>
      <c r="H31" s="19" t="s">
        <v>69</v>
      </c>
      <c r="I31" s="5">
        <v>21.99</v>
      </c>
      <c r="J31" s="6" t="s">
        <v>13</v>
      </c>
      <c r="K31" s="5">
        <v>29.9</v>
      </c>
      <c r="L31" s="6" t="s">
        <v>13</v>
      </c>
      <c r="M31" s="5">
        <v>27.06</v>
      </c>
      <c r="N31" s="6" t="s">
        <v>13</v>
      </c>
      <c r="O31" s="5">
        <f t="shared" si="6"/>
        <v>26.32</v>
      </c>
      <c r="P31" s="5">
        <f t="shared" si="3"/>
        <v>52.64</v>
      </c>
    </row>
    <row r="32" spans="5:16" ht="30.75" thickBot="1" x14ac:dyDescent="0.3">
      <c r="E32" s="8">
        <v>20</v>
      </c>
      <c r="F32" s="13">
        <v>4</v>
      </c>
      <c r="G32" s="13" t="s">
        <v>25</v>
      </c>
      <c r="H32" s="19" t="s">
        <v>46</v>
      </c>
      <c r="I32" s="5">
        <v>28.48</v>
      </c>
      <c r="J32" s="6" t="s">
        <v>13</v>
      </c>
      <c r="K32" s="5">
        <v>30.98</v>
      </c>
      <c r="L32" s="6" t="s">
        <v>13</v>
      </c>
      <c r="M32" s="5">
        <v>61.64</v>
      </c>
      <c r="N32" s="6" t="s">
        <v>13</v>
      </c>
      <c r="O32" s="5">
        <f t="shared" si="6"/>
        <v>40.369999999999997</v>
      </c>
      <c r="P32" s="5">
        <f t="shared" si="3"/>
        <v>161.47999999999999</v>
      </c>
    </row>
    <row r="33" spans="5:16" ht="15.75" thickBot="1" x14ac:dyDescent="0.3">
      <c r="E33" s="8">
        <v>21</v>
      </c>
      <c r="F33" s="13">
        <v>1</v>
      </c>
      <c r="G33" s="13" t="s">
        <v>25</v>
      </c>
      <c r="H33" s="19" t="s">
        <v>83</v>
      </c>
      <c r="I33" s="5">
        <f>4*2.8</f>
        <v>11.2</v>
      </c>
      <c r="J33" s="6" t="s">
        <v>13</v>
      </c>
      <c r="K33" s="5">
        <v>13.9</v>
      </c>
      <c r="L33" s="6" t="s">
        <v>13</v>
      </c>
      <c r="M33" s="5">
        <v>14.9</v>
      </c>
      <c r="N33" s="6" t="s">
        <v>13</v>
      </c>
      <c r="O33" s="5">
        <f t="shared" si="6"/>
        <v>13.33</v>
      </c>
      <c r="P33" s="5">
        <f t="shared" si="3"/>
        <v>13.33</v>
      </c>
    </row>
    <row r="34" spans="5:16" ht="15.75" thickBot="1" x14ac:dyDescent="0.3">
      <c r="E34" s="8">
        <v>22</v>
      </c>
      <c r="F34" s="13">
        <v>1</v>
      </c>
      <c r="G34" s="13" t="s">
        <v>25</v>
      </c>
      <c r="H34" s="19" t="s">
        <v>84</v>
      </c>
      <c r="I34" s="5">
        <v>18.989999999999998</v>
      </c>
      <c r="J34" s="6" t="s">
        <v>13</v>
      </c>
      <c r="K34" s="5">
        <v>13.9</v>
      </c>
      <c r="L34" s="6" t="s">
        <v>13</v>
      </c>
      <c r="M34" s="5">
        <v>13.9</v>
      </c>
      <c r="N34" s="6" t="s">
        <v>13</v>
      </c>
      <c r="O34" s="5">
        <f t="shared" si="6"/>
        <v>15.6</v>
      </c>
      <c r="P34" s="5">
        <f t="shared" si="3"/>
        <v>15.6</v>
      </c>
    </row>
    <row r="35" spans="5:16" ht="15.75" thickBot="1" x14ac:dyDescent="0.3">
      <c r="E35" s="8">
        <v>23</v>
      </c>
      <c r="F35" s="13">
        <v>1</v>
      </c>
      <c r="G35" s="13" t="s">
        <v>25</v>
      </c>
      <c r="H35" s="19" t="s">
        <v>85</v>
      </c>
      <c r="I35" s="5">
        <v>11.9</v>
      </c>
      <c r="J35" s="6" t="s">
        <v>13</v>
      </c>
      <c r="K35" s="5">
        <v>19.010000000000002</v>
      </c>
      <c r="L35" s="6" t="s">
        <v>13</v>
      </c>
      <c r="M35" s="5">
        <v>13.9</v>
      </c>
      <c r="N35" s="6" t="s">
        <v>13</v>
      </c>
      <c r="O35" s="5">
        <f t="shared" si="6"/>
        <v>14.94</v>
      </c>
      <c r="P35" s="5">
        <f t="shared" si="3"/>
        <v>14.94</v>
      </c>
    </row>
    <row r="36" spans="5:16" ht="45.75" thickBot="1" x14ac:dyDescent="0.3">
      <c r="E36" s="8">
        <v>24</v>
      </c>
      <c r="F36" s="13">
        <v>1</v>
      </c>
      <c r="G36" s="13" t="s">
        <v>25</v>
      </c>
      <c r="H36" s="19" t="s">
        <v>50</v>
      </c>
      <c r="I36" s="5">
        <v>349.9</v>
      </c>
      <c r="J36" s="6" t="s">
        <v>13</v>
      </c>
      <c r="K36" s="18"/>
      <c r="L36" s="6" t="s">
        <v>13</v>
      </c>
      <c r="M36" s="18"/>
      <c r="N36" s="6" t="s">
        <v>13</v>
      </c>
      <c r="O36" s="5">
        <f t="shared" si="6"/>
        <v>349.9</v>
      </c>
      <c r="P36" s="5">
        <f t="shared" si="3"/>
        <v>349.9</v>
      </c>
    </row>
    <row r="37" spans="5:16" ht="45.75" thickBot="1" x14ac:dyDescent="0.3">
      <c r="E37" s="8">
        <v>25</v>
      </c>
      <c r="F37" s="13">
        <v>2</v>
      </c>
      <c r="G37" s="13" t="s">
        <v>25</v>
      </c>
      <c r="H37" s="19" t="s">
        <v>51</v>
      </c>
      <c r="I37" s="5">
        <v>109.9</v>
      </c>
      <c r="J37" s="6" t="s">
        <v>13</v>
      </c>
      <c r="K37" s="5">
        <v>114.9</v>
      </c>
      <c r="L37" s="6" t="s">
        <v>13</v>
      </c>
      <c r="M37" s="5">
        <v>99.9</v>
      </c>
      <c r="N37" s="6" t="s">
        <v>13</v>
      </c>
      <c r="O37" s="5">
        <f t="shared" si="6"/>
        <v>108.23</v>
      </c>
      <c r="P37" s="5">
        <f t="shared" si="3"/>
        <v>216.46</v>
      </c>
    </row>
    <row r="38" spans="5:16" ht="30.75" thickBot="1" x14ac:dyDescent="0.3">
      <c r="E38" s="8">
        <v>26</v>
      </c>
      <c r="F38" s="13">
        <v>2</v>
      </c>
      <c r="G38" s="13" t="s">
        <v>25</v>
      </c>
      <c r="H38" s="19" t="s">
        <v>52</v>
      </c>
      <c r="I38" s="5">
        <v>213.85</v>
      </c>
      <c r="J38" s="6" t="s">
        <v>13</v>
      </c>
      <c r="K38" s="5">
        <v>115.9</v>
      </c>
      <c r="L38" s="6" t="s">
        <v>13</v>
      </c>
      <c r="M38" s="5">
        <v>169</v>
      </c>
      <c r="N38" s="6" t="s">
        <v>13</v>
      </c>
      <c r="O38" s="5">
        <f t="shared" si="6"/>
        <v>166.25</v>
      </c>
      <c r="P38" s="5">
        <f t="shared" si="3"/>
        <v>332.5</v>
      </c>
    </row>
    <row r="39" spans="5:16" ht="31.5" thickBot="1" x14ac:dyDescent="0.3">
      <c r="E39" s="8">
        <v>27</v>
      </c>
      <c r="F39" s="13">
        <v>4</v>
      </c>
      <c r="G39" s="13" t="s">
        <v>25</v>
      </c>
      <c r="H39" s="19" t="s">
        <v>53</v>
      </c>
      <c r="I39" s="5">
        <v>849.9</v>
      </c>
      <c r="J39" s="6" t="s">
        <v>13</v>
      </c>
      <c r="K39" s="18"/>
      <c r="L39" s="6" t="s">
        <v>13</v>
      </c>
      <c r="M39" s="18"/>
      <c r="N39" s="6" t="s">
        <v>13</v>
      </c>
      <c r="O39" s="5">
        <f t="shared" si="6"/>
        <v>849.9</v>
      </c>
      <c r="P39" s="5">
        <f t="shared" si="3"/>
        <v>3399.6</v>
      </c>
    </row>
    <row r="40" spans="5:16" ht="15.75" thickBot="1" x14ac:dyDescent="0.3">
      <c r="E40" s="8">
        <v>28</v>
      </c>
      <c r="F40" s="13">
        <v>4</v>
      </c>
      <c r="G40" s="13" t="s">
        <v>25</v>
      </c>
      <c r="H40" s="20" t="s">
        <v>54</v>
      </c>
      <c r="I40" s="5">
        <v>14</v>
      </c>
      <c r="J40" s="6" t="s">
        <v>13</v>
      </c>
      <c r="K40" s="5">
        <v>3.85</v>
      </c>
      <c r="L40" s="6" t="s">
        <v>13</v>
      </c>
      <c r="M40" s="5">
        <f>19.8/5</f>
        <v>3.96</v>
      </c>
      <c r="N40" s="6" t="s">
        <v>13</v>
      </c>
      <c r="O40" s="5">
        <f t="shared" si="6"/>
        <v>7.27</v>
      </c>
      <c r="P40" s="5">
        <f t="shared" si="3"/>
        <v>29.08</v>
      </c>
    </row>
    <row r="41" spans="5:16" ht="15.75" thickBot="1" x14ac:dyDescent="0.3">
      <c r="E41" s="8">
        <v>29</v>
      </c>
      <c r="F41" s="13">
        <v>2</v>
      </c>
      <c r="G41" s="13" t="s">
        <v>25</v>
      </c>
      <c r="H41" s="20" t="s">
        <v>70</v>
      </c>
      <c r="I41" s="5">
        <f>23.74/10</f>
        <v>2.3739999999999997</v>
      </c>
      <c r="J41" s="6" t="s">
        <v>13</v>
      </c>
      <c r="K41" s="5">
        <v>3</v>
      </c>
      <c r="L41" s="6" t="s">
        <v>13</v>
      </c>
      <c r="M41" s="5">
        <f>42.96/10</f>
        <v>4.2960000000000003</v>
      </c>
      <c r="N41" s="6" t="s">
        <v>13</v>
      </c>
      <c r="O41" s="5">
        <f t="shared" si="6"/>
        <v>3.22</v>
      </c>
      <c r="P41" s="5">
        <f t="shared" si="3"/>
        <v>6.44</v>
      </c>
    </row>
    <row r="42" spans="5:16" ht="30.75" thickBot="1" x14ac:dyDescent="0.3">
      <c r="E42" s="8">
        <v>30</v>
      </c>
      <c r="F42" s="13">
        <v>3</v>
      </c>
      <c r="G42" s="13" t="s">
        <v>25</v>
      </c>
      <c r="H42" s="20" t="s">
        <v>71</v>
      </c>
      <c r="I42" s="5">
        <v>11.98</v>
      </c>
      <c r="J42" s="6" t="s">
        <v>13</v>
      </c>
      <c r="K42" s="5">
        <v>13.4</v>
      </c>
      <c r="L42" s="6" t="s">
        <v>13</v>
      </c>
      <c r="M42" s="5">
        <v>13.11</v>
      </c>
      <c r="N42" s="6" t="s">
        <v>13</v>
      </c>
      <c r="O42" s="5">
        <f>ROUND(AVERAGE(M42,K42,I42),2)</f>
        <v>12.83</v>
      </c>
      <c r="P42" s="5">
        <f t="shared" si="3"/>
        <v>38.49</v>
      </c>
    </row>
    <row r="43" spans="5:16" ht="15.75" thickBot="1" x14ac:dyDescent="0.3">
      <c r="E43" s="8">
        <v>31</v>
      </c>
      <c r="F43" s="13">
        <v>10</v>
      </c>
      <c r="G43" s="13" t="s">
        <v>25</v>
      </c>
      <c r="H43" s="20" t="s">
        <v>72</v>
      </c>
      <c r="I43" s="5">
        <v>0.08</v>
      </c>
      <c r="J43" s="6" t="s">
        <v>13</v>
      </c>
      <c r="K43" s="5">
        <v>0.09</v>
      </c>
      <c r="L43" s="6" t="s">
        <v>13</v>
      </c>
      <c r="M43" s="5">
        <v>0.09</v>
      </c>
      <c r="N43" s="6" t="s">
        <v>13</v>
      </c>
      <c r="O43" s="5">
        <f t="shared" ref="O43:O46" si="7">ROUND(AVERAGE(M43,K43,I43),2)</f>
        <v>0.09</v>
      </c>
      <c r="P43" s="5">
        <f t="shared" si="3"/>
        <v>0.89999999999999991</v>
      </c>
    </row>
    <row r="44" spans="5:16" ht="15.75" thickBot="1" x14ac:dyDescent="0.3">
      <c r="E44" s="8">
        <v>32</v>
      </c>
      <c r="F44" s="13">
        <v>4</v>
      </c>
      <c r="G44" s="13" t="s">
        <v>25</v>
      </c>
      <c r="H44" s="20" t="s">
        <v>73</v>
      </c>
      <c r="I44" s="5">
        <v>0.09</v>
      </c>
      <c r="J44" s="6" t="s">
        <v>13</v>
      </c>
      <c r="K44" s="5">
        <v>0.08</v>
      </c>
      <c r="L44" s="6" t="s">
        <v>13</v>
      </c>
      <c r="M44" s="5">
        <v>0.08</v>
      </c>
      <c r="N44" s="6" t="s">
        <v>13</v>
      </c>
      <c r="O44" s="5">
        <f t="shared" si="7"/>
        <v>0.08</v>
      </c>
      <c r="P44" s="5">
        <f t="shared" si="3"/>
        <v>0.32</v>
      </c>
    </row>
    <row r="45" spans="5:16" ht="60.75" thickBot="1" x14ac:dyDescent="0.3">
      <c r="E45" s="8">
        <v>33</v>
      </c>
      <c r="F45" s="13">
        <v>1</v>
      </c>
      <c r="G45" s="13" t="s">
        <v>25</v>
      </c>
      <c r="H45" s="20" t="s">
        <v>59</v>
      </c>
      <c r="I45" s="5">
        <v>933.77</v>
      </c>
      <c r="J45" s="6" t="s">
        <v>13</v>
      </c>
      <c r="K45" s="18"/>
      <c r="L45" s="6" t="s">
        <v>13</v>
      </c>
      <c r="M45" s="18"/>
      <c r="N45" s="6" t="s">
        <v>13</v>
      </c>
      <c r="O45" s="5">
        <f t="shared" si="7"/>
        <v>933.77</v>
      </c>
      <c r="P45" s="5">
        <f t="shared" si="3"/>
        <v>933.77</v>
      </c>
    </row>
    <row r="46" spans="5:16" ht="30.75" thickBot="1" x14ac:dyDescent="0.3">
      <c r="E46" s="8">
        <v>34</v>
      </c>
      <c r="F46" s="13">
        <v>2</v>
      </c>
      <c r="G46" s="13" t="s">
        <v>25</v>
      </c>
      <c r="H46" s="20" t="s">
        <v>86</v>
      </c>
      <c r="I46" s="5">
        <v>23.99</v>
      </c>
      <c r="J46" s="6" t="s">
        <v>13</v>
      </c>
      <c r="K46" s="5">
        <v>17.899999999999999</v>
      </c>
      <c r="L46" s="6" t="s">
        <v>13</v>
      </c>
      <c r="M46" s="5">
        <v>19</v>
      </c>
      <c r="N46" s="6" t="s">
        <v>13</v>
      </c>
      <c r="O46" s="5">
        <f t="shared" si="7"/>
        <v>20.3</v>
      </c>
      <c r="P46" s="5">
        <f t="shared" si="3"/>
        <v>40.6</v>
      </c>
    </row>
    <row r="47" spans="5:16" ht="120.75" thickBot="1" x14ac:dyDescent="0.3">
      <c r="E47" s="8">
        <v>35</v>
      </c>
      <c r="F47" s="13">
        <v>3</v>
      </c>
      <c r="G47" s="13" t="s">
        <v>25</v>
      </c>
      <c r="H47" s="20" t="s">
        <v>87</v>
      </c>
      <c r="I47" s="5">
        <v>104.62</v>
      </c>
      <c r="J47" s="6" t="s">
        <v>13</v>
      </c>
      <c r="K47" s="5">
        <v>68.260000000000005</v>
      </c>
      <c r="L47" s="6" t="s">
        <v>13</v>
      </c>
      <c r="M47" s="5">
        <v>80</v>
      </c>
      <c r="N47" s="6" t="s">
        <v>13</v>
      </c>
      <c r="O47" s="5">
        <f>ROUND(AVERAGE(M47,K47,I47),2)</f>
        <v>84.29</v>
      </c>
      <c r="P47" s="5">
        <f>F47*O47</f>
        <v>252.87</v>
      </c>
    </row>
    <row r="48" spans="5:16" ht="105.75" thickBot="1" x14ac:dyDescent="0.3">
      <c r="E48" s="8">
        <v>36</v>
      </c>
      <c r="F48" s="13">
        <v>1</v>
      </c>
      <c r="G48" s="13" t="s">
        <v>25</v>
      </c>
      <c r="H48" s="20" t="s">
        <v>74</v>
      </c>
      <c r="I48" s="5">
        <f>2024.69+521</f>
        <v>2545.69</v>
      </c>
      <c r="J48" s="21" t="s">
        <v>75</v>
      </c>
      <c r="K48" s="5">
        <f>1740+521</f>
        <v>2261</v>
      </c>
      <c r="L48" s="21" t="s">
        <v>75</v>
      </c>
      <c r="M48" s="5">
        <f>1690+521</f>
        <v>2211</v>
      </c>
      <c r="N48" s="21" t="s">
        <v>75</v>
      </c>
      <c r="O48" s="5">
        <f>ROUND(AVERAGE(M48,K48,I48),2)</f>
        <v>2339.23</v>
      </c>
      <c r="P48" s="5">
        <f>F48*O48</f>
        <v>2339.23</v>
      </c>
    </row>
    <row r="49" spans="5:16" ht="15.75" thickBot="1" x14ac:dyDescent="0.3">
      <c r="E49" s="30" t="s">
        <v>23</v>
      </c>
      <c r="F49" s="31"/>
      <c r="G49" s="31"/>
      <c r="H49" s="31"/>
      <c r="I49" s="31"/>
      <c r="J49" s="31"/>
      <c r="K49" s="31"/>
      <c r="L49" s="31"/>
      <c r="M49" s="31"/>
      <c r="N49" s="31"/>
      <c r="O49" s="32"/>
      <c r="P49" s="5">
        <f>SUM(P13:P48)</f>
        <v>11193.66</v>
      </c>
    </row>
  </sheetData>
  <mergeCells count="4">
    <mergeCell ref="E3:P3"/>
    <mergeCell ref="E9:O9"/>
    <mergeCell ref="E11:P11"/>
    <mergeCell ref="E49:O49"/>
  </mergeCells>
  <hyperlinks>
    <hyperlink ref="J5" r:id="rId1" xr:uid="{FD684B27-C319-4903-A9F0-D458F74C71CA}"/>
    <hyperlink ref="J6:J9" r:id="rId2" display="link" xr:uid="{98D8FE1F-7F89-4FA1-80C0-40893FD6970E}"/>
    <hyperlink ref="L5" r:id="rId3" xr:uid="{0B371240-6381-4EF9-AE50-5B22F59AEB2D}"/>
    <hyperlink ref="L6:L9" r:id="rId4" display="link" xr:uid="{EF624835-F40C-4F51-B151-8587F65D4B69}"/>
    <hyperlink ref="N5" r:id="rId5" xr:uid="{99089294-D1DA-45BC-9A4E-017FCA418750}"/>
    <hyperlink ref="N6:N9" r:id="rId6" display="link" xr:uid="{492A1DE0-A937-4206-A673-646B2A406017}"/>
    <hyperlink ref="J6" r:id="rId7" xr:uid="{9948B6BA-E1DB-4D93-AD60-7876021F65A7}"/>
    <hyperlink ref="J7" r:id="rId8" xr:uid="{D72951A7-CC4E-4DA3-BED6-C8E60E8BC87F}"/>
    <hyperlink ref="J8" r:id="rId9" xr:uid="{2C25487A-983F-48C4-9875-BE224B195FA1}"/>
    <hyperlink ref="L8" r:id="rId10" xr:uid="{E019EC18-10AC-4111-A8F0-3DE863C91719}"/>
    <hyperlink ref="N8" r:id="rId11" xr:uid="{1798C7A0-F2A7-49E9-9096-69EF8E9551CC}"/>
    <hyperlink ref="L7" r:id="rId12" xr:uid="{7F63D3C0-A7A4-47F1-A79A-F2CE359774E5}"/>
    <hyperlink ref="N7" r:id="rId13" xr:uid="{42E6F4E0-B406-4D41-8930-A20CC7490BC7}"/>
    <hyperlink ref="L6" r:id="rId14" xr:uid="{B0F287AB-E626-4B30-BEDA-E6A61D80C6B0}"/>
    <hyperlink ref="N6" r:id="rId15" xr:uid="{06DBD20A-970E-4E36-AD5C-EE3F8F344B81}"/>
    <hyperlink ref="J42" r:id="rId16" xr:uid="{DAAD7A45-5CA1-4F07-B87F-EFF94976D5B6}"/>
    <hyperlink ref="L42" r:id="rId17" xr:uid="{2BCD74F5-F6A7-44A4-B64E-534100C05F15}"/>
    <hyperlink ref="N42" r:id="rId18" xr:uid="{BF4D88D8-8DD7-4950-8B9F-1032046682AB}"/>
    <hyperlink ref="J43" r:id="rId19" xr:uid="{B3BAA626-7202-4149-B326-D33BB3FADC26}"/>
    <hyperlink ref="J44" r:id="rId20" xr:uid="{234BD4D8-03B3-4C5F-84C4-C772CD81D86E}"/>
    <hyperlink ref="L44" r:id="rId21" xr:uid="{1D81D7EC-53D0-43AB-9A3B-E634EE7F735B}"/>
    <hyperlink ref="N44" r:id="rId22" xr:uid="{DB54AC11-9C2D-4152-8FD4-5AD82A8842CB}"/>
    <hyperlink ref="L43" r:id="rId23" xr:uid="{A3AB08A3-EBA3-457E-A3EE-1AC2F573CFC4}"/>
    <hyperlink ref="N43" r:id="rId24" xr:uid="{E983D034-B89C-454F-95D4-A09A304B6E93}"/>
    <hyperlink ref="J30:J41" r:id="rId25" display="link" xr:uid="{D9618C15-E379-4DFA-AEBB-403BE6F035AC}"/>
    <hyperlink ref="L30:L41" r:id="rId26" display="link" xr:uid="{F9B7E7C5-7632-4D89-9994-08F651907121}"/>
    <hyperlink ref="N30:N41" r:id="rId27" display="link" xr:uid="{478B634A-9DE9-4245-9527-5B0103DFB587}"/>
    <hyperlink ref="J26" r:id="rId28" xr:uid="{F9D45F4D-2D3F-4CF6-BDD3-211EF902A8E4}"/>
    <hyperlink ref="J27:J29" r:id="rId29" display="link" xr:uid="{7155C454-0919-4DAA-9C6B-75B154B3BD33}"/>
    <hyperlink ref="L26" r:id="rId30" xr:uid="{5A69A019-0660-402F-869D-7927ACADFCA3}"/>
    <hyperlink ref="L27:L29" r:id="rId31" display="link" xr:uid="{A200B056-675E-4E93-ABEC-59E57DEEBB82}"/>
    <hyperlink ref="N26" r:id="rId32" xr:uid="{721B4EA8-D1EF-4998-9C51-C3990D1B05AB}"/>
    <hyperlink ref="N27:N29" r:id="rId33" display="link" xr:uid="{0A3F1F89-858E-4418-B0FF-AF674B837812}"/>
    <hyperlink ref="J27" r:id="rId34" xr:uid="{A1821923-E6E1-4686-AD1C-77CD068E2861}"/>
    <hyperlink ref="J28" r:id="rId35" location="is_advertising=true&amp;searchVariation=MLBU2939827735&amp;backend_model=search-backend&amp;position=3&amp;search_layout=grid&amp;type=pad&amp;tracking_id=d55b636d-eb77-4774-aa8a-ab1f4358227f&amp;ad_domain=VQCATCORE_LST&amp;ad_position=3&amp;ad_click_id=MTRlMmFmMDItMGNjNC00NDIzLTkwYWUtMjE5Nzc2YWE4NDY1" xr:uid="{0DBC52D1-C52F-4D32-9055-2A3B204D3816}"/>
    <hyperlink ref="J29" r:id="rId36" xr:uid="{EC3DC528-CE31-4D4B-B736-F6C57B73F43B}"/>
    <hyperlink ref="L29" r:id="rId37" location="derivacao=8" xr:uid="{D2E6592E-2AED-4B60-AD5D-9C5717727DE8}"/>
    <hyperlink ref="N29" r:id="rId38" xr:uid="{07C1E66F-8062-4217-B285-011D2FDDAECC}"/>
    <hyperlink ref="L28" r:id="rId39" xr:uid="{B353A35E-1A97-40D7-97FB-975415F52A75}"/>
    <hyperlink ref="N28" r:id="rId40" xr:uid="{771193ED-955B-48EF-B83F-37ED38A5767A}"/>
    <hyperlink ref="L27" r:id="rId41" xr:uid="{0F939233-875D-43A5-8288-C68D1BB2998E}"/>
    <hyperlink ref="N27" r:id="rId42" location="polycard_client=search-nordic&amp;search_layout=stack&amp;position=3&amp;type=product&amp;tracking_id=2622fad7-ccf2-436b-b59e-0c94867e764c&amp;wid=MLB1412581889&amp;sid=search" xr:uid="{840CF83A-9CDA-4652-9519-BD0E769FEEBD}"/>
    <hyperlink ref="J45:J46" r:id="rId43" display="link" xr:uid="{27A63196-A410-4BBE-97D4-E44FFD59ACBA}"/>
    <hyperlink ref="L45:L46" r:id="rId44" display="link" xr:uid="{B8101D32-F38E-4A9C-B291-47337DE28DE3}"/>
    <hyperlink ref="N45:N46" r:id="rId45" display="link" xr:uid="{82E1BF45-4FD6-4E15-9DB9-F93DE3F833E1}"/>
    <hyperlink ref="L13" r:id="rId46" xr:uid="{82AA6F2D-9F6B-4D0D-A386-5CFE14D0378F}"/>
    <hyperlink ref="N13" r:id="rId47" xr:uid="{6F6D2937-6E5F-4C9B-A155-72B963D46340}"/>
    <hyperlink ref="J14" r:id="rId48" xr:uid="{6B516588-0730-4AB8-8F77-CC91CD286106}"/>
    <hyperlink ref="L14" r:id="rId49" xr:uid="{CCFC8BDB-E0DE-49D8-8DC1-D1018A12E437}"/>
    <hyperlink ref="N14" r:id="rId50" xr:uid="{F723A4BB-11CD-4354-BBFB-F9CF5E9C3E3E}"/>
    <hyperlink ref="J15" r:id="rId51" xr:uid="{786DA605-60C1-4C28-873C-021C8CE22409}"/>
    <hyperlink ref="L15" r:id="rId52" xr:uid="{9E0DAF24-E8B8-41B4-8AD7-BE0244097A6C}"/>
    <hyperlink ref="N15" r:id="rId53" xr:uid="{FA9B61E4-AB0E-4645-B063-44609728D57A}"/>
    <hyperlink ref="J16" r:id="rId54" xr:uid="{8230B85D-3052-493D-9773-2352E25D8828}"/>
    <hyperlink ref="L16" r:id="rId55" xr:uid="{44394FB7-AD89-4697-9FB4-5813785D2E30}"/>
    <hyperlink ref="N16" r:id="rId56" xr:uid="{BD99074D-106D-4045-A493-E33F1BD25521}"/>
    <hyperlink ref="J17" r:id="rId57" xr:uid="{89C7B0FC-3C18-4739-AAFA-7DC006573425}"/>
    <hyperlink ref="J18:J22" r:id="rId58" display="link" xr:uid="{4EB9B05E-8932-4CA7-AD46-B55495FD08D4}"/>
    <hyperlink ref="L17" r:id="rId59" xr:uid="{B2E47288-9866-4A0E-B01A-48F7B068492C}"/>
    <hyperlink ref="L18:L22" r:id="rId60" display="link" xr:uid="{74BE259C-CA58-4E18-9974-160F9D91CC71}"/>
    <hyperlink ref="N17" r:id="rId61" xr:uid="{1B36910C-44DD-4928-AD1D-9313B21AFFEA}"/>
    <hyperlink ref="N18:N22" r:id="rId62" display="link" xr:uid="{1AF6B27E-D3A7-48D2-A6A4-B02C7EAE0C55}"/>
    <hyperlink ref="J23" r:id="rId63" location="polycard_client=search_best-seller&amp;tracking_id=3f465951-442e-438f-a8a1-874f77b77430&amp;wid=MLB5599275528&amp;sid=search" xr:uid="{6B2F8F42-6D1F-40E0-85C2-3EAB7F9E7102}"/>
    <hyperlink ref="L23" r:id="rId64" xr:uid="{57D92536-B27A-4FF6-9795-7FD5840D68F8}"/>
    <hyperlink ref="N23" r:id="rId65" xr:uid="{DBCC00C7-C7C8-490C-BD5E-68C1B7758D9B}"/>
    <hyperlink ref="J24" r:id="rId66" xr:uid="{51A1A561-2A42-4403-9AB3-1E6DF80ACB0C}"/>
    <hyperlink ref="L24" r:id="rId67" xr:uid="{D25E98C4-2FAD-4947-A8C3-0A3B62569949}"/>
    <hyperlink ref="N24" r:id="rId68" xr:uid="{7C075FEB-D719-4648-9068-AA3CABE39859}"/>
    <hyperlink ref="J25" r:id="rId69" xr:uid="{22BE35B9-822D-4750-A924-441294BCD42A}"/>
    <hyperlink ref="L25" r:id="rId70" xr:uid="{940623C5-7A35-4038-9FE1-2FC03A5DF624}"/>
    <hyperlink ref="N25" r:id="rId71" xr:uid="{EBF2C81A-26D3-4F4D-907E-37494C9317C5}"/>
    <hyperlink ref="J30" r:id="rId72" xr:uid="{5CF9C6AC-2234-4D26-87F4-E08BDCF237DC}"/>
    <hyperlink ref="N30" r:id="rId73" xr:uid="{B890DB64-5577-4AAB-84E6-6BBE60CBD45C}"/>
    <hyperlink ref="L30" r:id="rId74" xr:uid="{8A8A49F0-A4FA-4ABF-A058-ACD21F1091B1}"/>
    <hyperlink ref="J31" r:id="rId75" xr:uid="{A8A2B78E-7CEE-4955-9BA2-529A4AD07990}"/>
    <hyperlink ref="L31" r:id="rId76" xr:uid="{325CD4BA-3978-493E-8769-0B2392DD95AD}"/>
    <hyperlink ref="N31" r:id="rId77" xr:uid="{ED12FE44-22D9-4ED4-8C42-284A29A43601}"/>
    <hyperlink ref="J32" r:id="rId78" xr:uid="{9E63030E-7E9D-47AC-8299-088598A93E44}"/>
    <hyperlink ref="L32" r:id="rId79" xr:uid="{52B23E8F-01B3-4DFB-A215-F2D138364A5D}"/>
    <hyperlink ref="N32" r:id="rId80" xr:uid="{A561A2A1-2025-4EF3-A6F6-4EC7E08715E6}"/>
    <hyperlink ref="J33" r:id="rId81" xr:uid="{182D9D43-3061-41F6-9A01-D58268034FE9}"/>
    <hyperlink ref="L33" r:id="rId82" xr:uid="{95CCF5E0-4F20-4EC1-ABA8-3B51A4B35BA8}"/>
    <hyperlink ref="N33" r:id="rId83" xr:uid="{F24F8213-2F1F-4018-B0B4-C9BC8287CA42}"/>
    <hyperlink ref="J34" r:id="rId84" xr:uid="{FEFC585E-644F-499F-A93A-6BC45E77D841}"/>
    <hyperlink ref="L34" r:id="rId85" xr:uid="{1F94A549-A20E-44FE-9D94-CF0C6F4C9EE9}"/>
    <hyperlink ref="N34" r:id="rId86" xr:uid="{6FDCBAB6-B04D-424C-BC7C-9CEEFCF5A8EA}"/>
    <hyperlink ref="J35" r:id="rId87" xr:uid="{EF9A7D80-2046-4D7C-81C1-8718DFB42004}"/>
    <hyperlink ref="L35" r:id="rId88" xr:uid="{CAA69BFD-037F-4B12-97FE-A5E8F3A33E3F}"/>
    <hyperlink ref="N35" r:id="rId89" xr:uid="{B3F03994-F3EE-46C0-8DA0-3941C6888C12}"/>
    <hyperlink ref="J36" r:id="rId90" xr:uid="{96F113EA-B100-4F89-8822-43C4BF778EDD}"/>
    <hyperlink ref="J37" r:id="rId91" xr:uid="{000DD451-AD95-405F-B19B-D1E022C791F7}"/>
    <hyperlink ref="L37" r:id="rId92" location="polycard_client=search-nordic&amp;search_layout=stack&amp;position=1&amp;type=product&amp;tracking_id=94318a09-b8ed-4b62-8a00-9480a16c7ecc&amp;wid=MLB5416675902&amp;sid=search" xr:uid="{064A9DD0-EC1F-4077-B436-47351DBEE9EB}"/>
    <hyperlink ref="N37" r:id="rId93" xr:uid="{F6A48586-15D0-4F59-B31C-C5ED55FA07D3}"/>
    <hyperlink ref="J38" r:id="rId94" xr:uid="{2182AA06-375F-4AEA-A062-7AF7413A1953}"/>
    <hyperlink ref="L38" r:id="rId95" xr:uid="{0356C42A-CA7F-4181-8B22-78523D43FCEF}"/>
    <hyperlink ref="N38" r:id="rId96" xr:uid="{DF80A7B8-6D0D-40BE-A5C3-D9F92C12D344}"/>
    <hyperlink ref="J39" r:id="rId97" xr:uid="{96615B90-7114-472E-B338-E01F6BDC527B}"/>
    <hyperlink ref="J40" r:id="rId98" xr:uid="{3D8F2E06-8A45-49F9-8E82-39BFB147F41A}"/>
    <hyperlink ref="L40" r:id="rId99" xr:uid="{69C3A2D8-AF79-465E-92B7-1BEF4012BD9C}"/>
    <hyperlink ref="N40" r:id="rId100" xr:uid="{27AE9D36-5A28-4DE7-91F6-E458FEE95104}"/>
    <hyperlink ref="J41" r:id="rId101" xr:uid="{E0CEDD7D-BF2E-484F-ACC7-43004ABDD62C}"/>
    <hyperlink ref="L41" r:id="rId102" xr:uid="{1543EDED-270E-43A3-8C45-EA9D647AF4F4}"/>
    <hyperlink ref="N41" r:id="rId103" xr:uid="{B0612F79-E6A1-48B7-AC9A-34A549616B71}"/>
    <hyperlink ref="J47" r:id="rId104" location="derivacao=8" xr:uid="{96ABECFC-5BE4-4605-8352-63D0C2BF29A1}"/>
    <hyperlink ref="L47" r:id="rId105" xr:uid="{5B8AA64C-BBE9-45E7-A5E1-C8B9B69C4BA5}"/>
    <hyperlink ref="N47" r:id="rId106" xr:uid="{12021267-7B3F-4A36-A57D-F57CC16AAFF0}"/>
    <hyperlink ref="J45" r:id="rId107" xr:uid="{F0CF74C4-7C0D-4B0F-A4AB-682FF930CBCF}"/>
    <hyperlink ref="J46" r:id="rId108" xr:uid="{B00CB6CE-1D48-4A01-B619-938E178693FC}"/>
    <hyperlink ref="L46" r:id="rId109" xr:uid="{10F88904-D7E0-4381-8ACC-87BB01BD5344}"/>
    <hyperlink ref="N46" r:id="rId110" xr:uid="{67CC48B5-28BC-470A-92FE-680A317463BB}"/>
    <hyperlink ref="J48" r:id="rId111" display="link" xr:uid="{55126A52-9991-46F5-8E12-D0D66EF4A315}"/>
    <hyperlink ref="L48" r:id="rId112" display="https://www.mercadolivre.com.br/controlador-logico-clic02-clw02-20vrd-3rd-24vcc-11268449/up/MLBU2886663265?pdp_filters=item_id:MLB5213852204" xr:uid="{C9DF2DB2-420F-4AB8-874D-5EBC772766FF}"/>
    <hyperlink ref="N48" r:id="rId113" display="https://www.refercomercio.com.br/comandos-eletricos/reles/controlador-logico-programavel-weg-clp-clic02-24vcc-20vr?parceiro=5922&amp;srsltid=AfmBOop0xT7a1KEuh7rNT9ctz37owkZvUrRlnJtkh7P4WL_hSLNhSIa2Pk0" xr:uid="{4307C3FB-0F18-4C90-8F09-D226768836F1}"/>
  </hyperlinks>
  <pageMargins left="0.7" right="0.7" top="0.75" bottom="0.75" header="0.3" footer="0.3"/>
  <pageSetup paperSize="9" scale="56" fitToHeight="0" orientation="landscape" r:id="rId1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56CE-A65A-4DD5-8BE5-2F6E84E54A31}">
  <sheetPr>
    <pageSetUpPr fitToPage="1"/>
  </sheetPr>
  <dimension ref="A2:Q49"/>
  <sheetViews>
    <sheetView topLeftCell="A25" zoomScaleNormal="100" workbookViewId="0">
      <selection activeCell="G29" sqref="G29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9.140625" style="3"/>
    <col min="4" max="4" width="9.28515625" style="3" customWidth="1"/>
    <col min="5" max="5" width="10.140625" style="3" customWidth="1"/>
    <col min="6" max="6" width="25.5703125" style="3" hidden="1" customWidth="1"/>
    <col min="7" max="7" width="12.140625" style="3" customWidth="1"/>
    <col min="8" max="8" width="11" style="3" customWidth="1"/>
    <col min="9" max="9" width="64" style="3" customWidth="1"/>
    <col min="10" max="10" width="12" style="3" hidden="1" customWidth="1"/>
    <col min="11" max="11" width="9.7109375" style="3" hidden="1" customWidth="1"/>
    <col min="12" max="12" width="10.7109375" style="3" hidden="1" customWidth="1"/>
    <col min="13" max="13" width="7" style="3" hidden="1" customWidth="1"/>
    <col min="14" max="14" width="10.7109375" style="3" hidden="1" customWidth="1"/>
    <col min="15" max="15" width="10.28515625" style="3" hidden="1" customWidth="1"/>
    <col min="16" max="16" width="15.140625" style="3" hidden="1" customWidth="1"/>
    <col min="17" max="17" width="16.42578125" style="3" hidden="1" customWidth="1"/>
    <col min="18" max="16384" width="9.140625" style="3"/>
  </cols>
  <sheetData>
    <row r="2" spans="1:17" ht="15.75" thickBot="1" x14ac:dyDescent="0.3"/>
    <row r="3" spans="1:17" ht="15.75" thickBot="1" x14ac:dyDescent="0.3">
      <c r="A3" s="3" t="s">
        <v>14</v>
      </c>
      <c r="B3" s="22">
        <f>Q9</f>
        <v>14842.03</v>
      </c>
      <c r="E3" s="27" t="s">
        <v>14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1:17" ht="15.75" thickBot="1" x14ac:dyDescent="0.3">
      <c r="A4" s="3" t="s">
        <v>24</v>
      </c>
      <c r="B4" s="22">
        <f>Q49</f>
        <v>11193.66</v>
      </c>
      <c r="E4" s="1" t="s">
        <v>0</v>
      </c>
      <c r="F4" s="1" t="s">
        <v>6</v>
      </c>
      <c r="G4" s="1" t="s">
        <v>1</v>
      </c>
      <c r="H4" s="1" t="s">
        <v>2</v>
      </c>
      <c r="I4" s="1" t="s">
        <v>3</v>
      </c>
      <c r="J4" s="1" t="s">
        <v>7</v>
      </c>
      <c r="K4" s="1" t="s">
        <v>8</v>
      </c>
      <c r="L4" s="1" t="s">
        <v>9</v>
      </c>
      <c r="M4" s="1" t="s">
        <v>8</v>
      </c>
      <c r="N4" s="1" t="s">
        <v>10</v>
      </c>
      <c r="O4" s="1" t="s">
        <v>8</v>
      </c>
      <c r="P4" s="1" t="s">
        <v>11</v>
      </c>
      <c r="Q4" s="1" t="s">
        <v>12</v>
      </c>
    </row>
    <row r="5" spans="1:17" ht="135.75" thickBot="1" x14ac:dyDescent="0.3">
      <c r="B5" s="22">
        <f>SUM(B3:B4)</f>
        <v>26035.690000000002</v>
      </c>
      <c r="E5" s="4">
        <v>1</v>
      </c>
      <c r="F5" s="4">
        <v>5795001</v>
      </c>
      <c r="G5" s="4">
        <v>1000</v>
      </c>
      <c r="H5" s="7" t="s">
        <v>15</v>
      </c>
      <c r="I5" s="2" t="s">
        <v>22</v>
      </c>
      <c r="J5" s="5">
        <v>4.49</v>
      </c>
      <c r="K5" s="6" t="s">
        <v>13</v>
      </c>
      <c r="L5" s="5">
        <v>3.78</v>
      </c>
      <c r="M5" s="6" t="s">
        <v>13</v>
      </c>
      <c r="N5" s="5">
        <v>5.28</v>
      </c>
      <c r="O5" s="6" t="s">
        <v>13</v>
      </c>
      <c r="P5" s="5">
        <f>ROUND(AVERAGE(N5,L5,J5),2)</f>
        <v>4.5199999999999996</v>
      </c>
      <c r="Q5" s="5">
        <f>G5*P5</f>
        <v>4520</v>
      </c>
    </row>
    <row r="6" spans="1:17" ht="135.75" thickBot="1" x14ac:dyDescent="0.3">
      <c r="E6" s="4">
        <v>2</v>
      </c>
      <c r="F6" s="4">
        <v>5794293</v>
      </c>
      <c r="G6" s="4">
        <v>1000</v>
      </c>
      <c r="H6" s="7" t="s">
        <v>15</v>
      </c>
      <c r="I6" s="2" t="s">
        <v>16</v>
      </c>
      <c r="J6" s="5">
        <v>8.85</v>
      </c>
      <c r="K6" s="6" t="s">
        <v>13</v>
      </c>
      <c r="L6" s="5">
        <v>9.1199999999999992</v>
      </c>
      <c r="M6" s="6" t="s">
        <v>13</v>
      </c>
      <c r="N6" s="5">
        <f>460/50</f>
        <v>9.1999999999999993</v>
      </c>
      <c r="O6" s="6" t="s">
        <v>13</v>
      </c>
      <c r="P6" s="5">
        <f t="shared" ref="P6:P8" si="0">ROUND(AVERAGE(N6,L6,J6),2)</f>
        <v>9.06</v>
      </c>
      <c r="Q6" s="5">
        <f t="shared" ref="Q6:Q8" si="1">G6*P6</f>
        <v>9060</v>
      </c>
    </row>
    <row r="7" spans="1:17" ht="90.75" thickBot="1" x14ac:dyDescent="0.3">
      <c r="E7" s="4">
        <v>3</v>
      </c>
      <c r="F7" s="4">
        <v>3957420</v>
      </c>
      <c r="G7" s="4">
        <v>1</v>
      </c>
      <c r="H7" s="7" t="s">
        <v>20</v>
      </c>
      <c r="I7" s="2" t="s">
        <v>17</v>
      </c>
      <c r="J7" s="5">
        <v>161.63</v>
      </c>
      <c r="K7" s="6" t="s">
        <v>13</v>
      </c>
      <c r="L7" s="5">
        <v>455.7</v>
      </c>
      <c r="M7" s="6" t="s">
        <v>13</v>
      </c>
      <c r="N7" s="5">
        <v>249.99</v>
      </c>
      <c r="O7" s="6" t="s">
        <v>13</v>
      </c>
      <c r="P7" s="5">
        <f t="shared" si="0"/>
        <v>289.11</v>
      </c>
      <c r="Q7" s="5">
        <f t="shared" si="1"/>
        <v>289.11</v>
      </c>
    </row>
    <row r="8" spans="1:17" ht="90.75" thickBot="1" x14ac:dyDescent="0.3">
      <c r="E8" s="4">
        <v>4</v>
      </c>
      <c r="F8" s="4">
        <v>2625628</v>
      </c>
      <c r="G8" s="4">
        <v>4</v>
      </c>
      <c r="H8" s="7" t="s">
        <v>19</v>
      </c>
      <c r="I8" s="2" t="s">
        <v>18</v>
      </c>
      <c r="J8" s="5">
        <v>207.69</v>
      </c>
      <c r="K8" s="6" t="s">
        <v>13</v>
      </c>
      <c r="L8" s="5">
        <f>100*2.23</f>
        <v>223</v>
      </c>
      <c r="M8" s="6" t="s">
        <v>13</v>
      </c>
      <c r="N8" s="5">
        <v>299</v>
      </c>
      <c r="O8" s="6" t="s">
        <v>13</v>
      </c>
      <c r="P8" s="5">
        <f t="shared" si="0"/>
        <v>243.23</v>
      </c>
      <c r="Q8" s="5">
        <f t="shared" si="1"/>
        <v>972.92</v>
      </c>
    </row>
    <row r="9" spans="1:17" ht="15.75" hidden="1" thickBot="1" x14ac:dyDescent="0.3">
      <c r="E9" s="30" t="s">
        <v>21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  <c r="Q9" s="5">
        <f>SUM(Q5:Q8)</f>
        <v>14842.03</v>
      </c>
    </row>
    <row r="10" spans="1:17" ht="15.75" thickBot="1" x14ac:dyDescent="0.3"/>
    <row r="11" spans="1:17" ht="15.75" thickBot="1" x14ac:dyDescent="0.3">
      <c r="E11" s="27" t="s">
        <v>24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</row>
    <row r="12" spans="1:17" ht="15.75" thickBot="1" x14ac:dyDescent="0.3">
      <c r="E12" s="1" t="s">
        <v>0</v>
      </c>
      <c r="F12" s="1" t="s">
        <v>6</v>
      </c>
      <c r="G12" s="1" t="s">
        <v>1</v>
      </c>
      <c r="H12" s="1" t="s">
        <v>2</v>
      </c>
      <c r="I12" s="1" t="s">
        <v>3</v>
      </c>
      <c r="J12" s="1" t="s">
        <v>7</v>
      </c>
      <c r="K12" s="1" t="s">
        <v>8</v>
      </c>
      <c r="L12" s="1" t="s">
        <v>9</v>
      </c>
      <c r="M12" s="1" t="s">
        <v>8</v>
      </c>
      <c r="N12" s="1" t="s">
        <v>10</v>
      </c>
      <c r="O12" s="1" t="s">
        <v>8</v>
      </c>
      <c r="P12" s="1" t="s">
        <v>11</v>
      </c>
      <c r="Q12" s="1" t="s">
        <v>12</v>
      </c>
    </row>
    <row r="13" spans="1:17" ht="45.75" thickBot="1" x14ac:dyDescent="0.3">
      <c r="E13" s="8">
        <v>1</v>
      </c>
      <c r="F13" s="1">
        <v>2161389</v>
      </c>
      <c r="G13" s="13">
        <v>200</v>
      </c>
      <c r="H13" s="13" t="s">
        <v>25</v>
      </c>
      <c r="I13" s="19" t="s">
        <v>62</v>
      </c>
      <c r="J13" s="5">
        <v>6.96</v>
      </c>
      <c r="K13" s="6" t="s">
        <v>13</v>
      </c>
      <c r="L13" s="5">
        <v>12.9</v>
      </c>
      <c r="M13" s="6" t="s">
        <v>13</v>
      </c>
      <c r="N13" s="5">
        <v>7.8</v>
      </c>
      <c r="O13" s="6" t="s">
        <v>13</v>
      </c>
      <c r="P13" s="5">
        <f t="shared" ref="P13:P25" si="2">ROUND(AVERAGE(N13,L13,J13),2)</f>
        <v>9.2200000000000006</v>
      </c>
      <c r="Q13" s="5">
        <f t="shared" ref="Q13:Q46" si="3">G13*P13</f>
        <v>1844.0000000000002</v>
      </c>
    </row>
    <row r="14" spans="1:17" ht="15.75" thickBot="1" x14ac:dyDescent="0.3">
      <c r="E14" s="8">
        <v>2</v>
      </c>
      <c r="F14" s="1">
        <v>4120582</v>
      </c>
      <c r="G14" s="13">
        <v>1</v>
      </c>
      <c r="H14" s="13" t="s">
        <v>27</v>
      </c>
      <c r="I14" s="19" t="s">
        <v>63</v>
      </c>
      <c r="J14" s="5">
        <v>7.49</v>
      </c>
      <c r="K14" s="6" t="s">
        <v>13</v>
      </c>
      <c r="L14" s="5">
        <v>8.5</v>
      </c>
      <c r="M14" s="6" t="s">
        <v>13</v>
      </c>
      <c r="N14" s="5">
        <v>5.8</v>
      </c>
      <c r="O14" s="6" t="s">
        <v>13</v>
      </c>
      <c r="P14" s="5">
        <f t="shared" si="2"/>
        <v>7.26</v>
      </c>
      <c r="Q14" s="5">
        <f t="shared" si="3"/>
        <v>7.26</v>
      </c>
    </row>
    <row r="15" spans="1:17" ht="30.75" thickBot="1" x14ac:dyDescent="0.3">
      <c r="E15" s="8">
        <v>3</v>
      </c>
      <c r="F15" s="1">
        <v>3138550</v>
      </c>
      <c r="G15" s="13">
        <v>4</v>
      </c>
      <c r="H15" s="13" t="s">
        <v>25</v>
      </c>
      <c r="I15" s="19" t="s">
        <v>64</v>
      </c>
      <c r="J15" s="5">
        <v>12.2</v>
      </c>
      <c r="K15" s="6" t="s">
        <v>13</v>
      </c>
      <c r="L15" s="5">
        <v>15</v>
      </c>
      <c r="M15" s="6" t="s">
        <v>13</v>
      </c>
      <c r="N15" s="5">
        <v>16.489999999999998</v>
      </c>
      <c r="O15" s="6" t="s">
        <v>13</v>
      </c>
      <c r="P15" s="5">
        <f t="shared" si="2"/>
        <v>14.56</v>
      </c>
      <c r="Q15" s="5">
        <f t="shared" si="3"/>
        <v>58.24</v>
      </c>
    </row>
    <row r="16" spans="1:17" ht="30.75" thickBot="1" x14ac:dyDescent="0.3">
      <c r="E16" s="8">
        <v>4</v>
      </c>
      <c r="F16" s="1">
        <v>6227937</v>
      </c>
      <c r="G16" s="13">
        <v>4</v>
      </c>
      <c r="H16" s="13" t="s">
        <v>25</v>
      </c>
      <c r="I16" s="19" t="s">
        <v>65</v>
      </c>
      <c r="J16" s="5">
        <v>12.2</v>
      </c>
      <c r="K16" s="6" t="s">
        <v>13</v>
      </c>
      <c r="L16" s="5">
        <v>15</v>
      </c>
      <c r="M16" s="6" t="s">
        <v>13</v>
      </c>
      <c r="N16" s="5">
        <v>16.489999999999998</v>
      </c>
      <c r="O16" s="6" t="s">
        <v>13</v>
      </c>
      <c r="P16" s="5">
        <f t="shared" si="2"/>
        <v>14.56</v>
      </c>
      <c r="Q16" s="5">
        <f t="shared" si="3"/>
        <v>58.24</v>
      </c>
    </row>
    <row r="17" spans="5:17" ht="45.75" thickBot="1" x14ac:dyDescent="0.3">
      <c r="E17" s="8">
        <v>5</v>
      </c>
      <c r="F17" s="1">
        <v>5998786</v>
      </c>
      <c r="G17" s="13">
        <v>3</v>
      </c>
      <c r="H17" s="17" t="s">
        <v>30</v>
      </c>
      <c r="I17" s="19" t="s">
        <v>76</v>
      </c>
      <c r="J17" s="5">
        <v>0.98</v>
      </c>
      <c r="K17" s="6" t="s">
        <v>13</v>
      </c>
      <c r="L17" s="5">
        <f>163/100</f>
        <v>1.63</v>
      </c>
      <c r="M17" s="6" t="s">
        <v>13</v>
      </c>
      <c r="N17" s="5">
        <f>33.15/30</f>
        <v>1.105</v>
      </c>
      <c r="O17" s="6" t="s">
        <v>13</v>
      </c>
      <c r="P17" s="5">
        <f t="shared" si="2"/>
        <v>1.24</v>
      </c>
      <c r="Q17" s="5">
        <f t="shared" si="3"/>
        <v>3.7199999999999998</v>
      </c>
    </row>
    <row r="18" spans="5:17" ht="45.75" thickBot="1" x14ac:dyDescent="0.3">
      <c r="E18" s="8">
        <v>6</v>
      </c>
      <c r="F18" s="1">
        <v>419761</v>
      </c>
      <c r="G18" s="13">
        <v>3</v>
      </c>
      <c r="H18" s="17" t="s">
        <v>30</v>
      </c>
      <c r="I18" s="19" t="s">
        <v>77</v>
      </c>
      <c r="J18" s="5">
        <v>0.98</v>
      </c>
      <c r="K18" s="6" t="s">
        <v>13</v>
      </c>
      <c r="L18" s="5">
        <f t="shared" ref="L18:L22" si="4">163/100</f>
        <v>1.63</v>
      </c>
      <c r="M18" s="6" t="s">
        <v>13</v>
      </c>
      <c r="N18" s="5">
        <f t="shared" ref="N18:N22" si="5">33.15/30</f>
        <v>1.105</v>
      </c>
      <c r="O18" s="6" t="s">
        <v>13</v>
      </c>
      <c r="P18" s="5">
        <f t="shared" si="2"/>
        <v>1.24</v>
      </c>
      <c r="Q18" s="5">
        <f t="shared" si="3"/>
        <v>3.7199999999999998</v>
      </c>
    </row>
    <row r="19" spans="5:17" ht="45.75" thickBot="1" x14ac:dyDescent="0.3">
      <c r="E19" s="8">
        <v>7</v>
      </c>
      <c r="F19" s="1">
        <v>6315658</v>
      </c>
      <c r="G19" s="13">
        <v>3</v>
      </c>
      <c r="H19" s="17" t="s">
        <v>30</v>
      </c>
      <c r="I19" s="19" t="s">
        <v>78</v>
      </c>
      <c r="J19" s="5">
        <v>0.98</v>
      </c>
      <c r="K19" s="6" t="s">
        <v>13</v>
      </c>
      <c r="L19" s="5">
        <f t="shared" si="4"/>
        <v>1.63</v>
      </c>
      <c r="M19" s="6" t="s">
        <v>13</v>
      </c>
      <c r="N19" s="5">
        <f t="shared" si="5"/>
        <v>1.105</v>
      </c>
      <c r="O19" s="6" t="s">
        <v>13</v>
      </c>
      <c r="P19" s="5">
        <f t="shared" si="2"/>
        <v>1.24</v>
      </c>
      <c r="Q19" s="5">
        <f t="shared" si="3"/>
        <v>3.7199999999999998</v>
      </c>
    </row>
    <row r="20" spans="5:17" ht="45.75" thickBot="1" x14ac:dyDescent="0.3">
      <c r="E20" s="8">
        <v>8</v>
      </c>
      <c r="F20" s="1">
        <v>6315615</v>
      </c>
      <c r="G20" s="13">
        <v>5</v>
      </c>
      <c r="H20" s="17" t="s">
        <v>30</v>
      </c>
      <c r="I20" s="19" t="s">
        <v>79</v>
      </c>
      <c r="J20" s="5">
        <v>0.98</v>
      </c>
      <c r="K20" s="6" t="s">
        <v>13</v>
      </c>
      <c r="L20" s="5">
        <f t="shared" si="4"/>
        <v>1.63</v>
      </c>
      <c r="M20" s="6" t="s">
        <v>13</v>
      </c>
      <c r="N20" s="5">
        <f t="shared" si="5"/>
        <v>1.105</v>
      </c>
      <c r="O20" s="6" t="s">
        <v>13</v>
      </c>
      <c r="P20" s="5">
        <f t="shared" si="2"/>
        <v>1.24</v>
      </c>
      <c r="Q20" s="5">
        <f t="shared" si="3"/>
        <v>6.2</v>
      </c>
    </row>
    <row r="21" spans="5:17" ht="45.75" thickBot="1" x14ac:dyDescent="0.3">
      <c r="E21" s="8">
        <v>9</v>
      </c>
      <c r="F21" s="1">
        <v>5902568</v>
      </c>
      <c r="G21" s="13">
        <v>5</v>
      </c>
      <c r="H21" s="17" t="s">
        <v>30</v>
      </c>
      <c r="I21" s="19" t="s">
        <v>80</v>
      </c>
      <c r="J21" s="5">
        <v>0.98</v>
      </c>
      <c r="K21" s="6" t="s">
        <v>13</v>
      </c>
      <c r="L21" s="5">
        <f t="shared" si="4"/>
        <v>1.63</v>
      </c>
      <c r="M21" s="6" t="s">
        <v>13</v>
      </c>
      <c r="N21" s="5">
        <f t="shared" si="5"/>
        <v>1.105</v>
      </c>
      <c r="O21" s="6" t="s">
        <v>13</v>
      </c>
      <c r="P21" s="5">
        <f t="shared" si="2"/>
        <v>1.24</v>
      </c>
      <c r="Q21" s="5">
        <f t="shared" si="3"/>
        <v>6.2</v>
      </c>
    </row>
    <row r="22" spans="5:17" ht="45.75" thickBot="1" x14ac:dyDescent="0.3">
      <c r="E22" s="8">
        <v>10</v>
      </c>
      <c r="F22" s="1">
        <v>5853117</v>
      </c>
      <c r="G22" s="13">
        <v>5</v>
      </c>
      <c r="H22" s="17" t="s">
        <v>30</v>
      </c>
      <c r="I22" s="19" t="s">
        <v>81</v>
      </c>
      <c r="J22" s="5">
        <v>0.98</v>
      </c>
      <c r="K22" s="6" t="s">
        <v>13</v>
      </c>
      <c r="L22" s="5">
        <f t="shared" si="4"/>
        <v>1.63</v>
      </c>
      <c r="M22" s="6" t="s">
        <v>13</v>
      </c>
      <c r="N22" s="5">
        <f t="shared" si="5"/>
        <v>1.105</v>
      </c>
      <c r="O22" s="6" t="s">
        <v>13</v>
      </c>
      <c r="P22" s="5">
        <f t="shared" si="2"/>
        <v>1.24</v>
      </c>
      <c r="Q22" s="5">
        <f t="shared" si="3"/>
        <v>6.2</v>
      </c>
    </row>
    <row r="23" spans="5:17" ht="30.75" thickBot="1" x14ac:dyDescent="0.3">
      <c r="E23" s="8">
        <v>11</v>
      </c>
      <c r="F23" s="1">
        <v>5835844</v>
      </c>
      <c r="G23" s="13">
        <v>4</v>
      </c>
      <c r="H23" s="13" t="s">
        <v>25</v>
      </c>
      <c r="I23" s="19" t="s">
        <v>67</v>
      </c>
      <c r="J23" s="5">
        <v>52.98</v>
      </c>
      <c r="K23" s="6" t="s">
        <v>13</v>
      </c>
      <c r="L23" s="5">
        <v>41</v>
      </c>
      <c r="M23" s="6" t="s">
        <v>13</v>
      </c>
      <c r="N23" s="5">
        <v>70.27</v>
      </c>
      <c r="O23" s="6" t="s">
        <v>13</v>
      </c>
      <c r="P23" s="5">
        <f t="shared" si="2"/>
        <v>54.75</v>
      </c>
      <c r="Q23" s="5">
        <f t="shared" si="3"/>
        <v>219</v>
      </c>
    </row>
    <row r="24" spans="5:17" ht="15.75" thickBot="1" x14ac:dyDescent="0.3">
      <c r="E24" s="8">
        <v>12</v>
      </c>
      <c r="F24" s="1">
        <v>5174546</v>
      </c>
      <c r="G24" s="13">
        <v>5</v>
      </c>
      <c r="H24" s="13" t="s">
        <v>25</v>
      </c>
      <c r="I24" s="19" t="s">
        <v>38</v>
      </c>
      <c r="J24" s="5">
        <v>29.95</v>
      </c>
      <c r="K24" s="6" t="s">
        <v>13</v>
      </c>
      <c r="L24" s="5">
        <v>29.9</v>
      </c>
      <c r="M24" s="6" t="s">
        <v>13</v>
      </c>
      <c r="N24" s="5">
        <v>41</v>
      </c>
      <c r="O24" s="6" t="s">
        <v>13</v>
      </c>
      <c r="P24" s="5">
        <f t="shared" si="2"/>
        <v>33.619999999999997</v>
      </c>
      <c r="Q24" s="5">
        <f t="shared" si="3"/>
        <v>168.1</v>
      </c>
    </row>
    <row r="25" spans="5:17" ht="15.75" thickBot="1" x14ac:dyDescent="0.3">
      <c r="E25" s="8">
        <v>13</v>
      </c>
      <c r="F25" s="1">
        <v>5889537</v>
      </c>
      <c r="G25" s="13">
        <v>4</v>
      </c>
      <c r="H25" s="13" t="s">
        <v>25</v>
      </c>
      <c r="I25" s="19" t="s">
        <v>66</v>
      </c>
      <c r="J25" s="5">
        <v>33.799999999999997</v>
      </c>
      <c r="K25" s="6" t="s">
        <v>13</v>
      </c>
      <c r="L25" s="5">
        <v>54.99</v>
      </c>
      <c r="M25" s="6" t="s">
        <v>13</v>
      </c>
      <c r="N25" s="5">
        <v>37.86</v>
      </c>
      <c r="O25" s="6" t="s">
        <v>13</v>
      </c>
      <c r="P25" s="5">
        <f t="shared" si="2"/>
        <v>42.22</v>
      </c>
      <c r="Q25" s="5">
        <f t="shared" si="3"/>
        <v>168.88</v>
      </c>
    </row>
    <row r="26" spans="5:17" ht="30.75" thickBot="1" x14ac:dyDescent="0.3">
      <c r="E26" s="8">
        <v>14</v>
      </c>
      <c r="F26" s="1">
        <v>5084598</v>
      </c>
      <c r="G26" s="13">
        <v>1</v>
      </c>
      <c r="H26" s="13" t="s">
        <v>25</v>
      </c>
      <c r="I26" s="19" t="s">
        <v>40</v>
      </c>
      <c r="J26" s="5">
        <v>51</v>
      </c>
      <c r="K26" s="6" t="s">
        <v>13</v>
      </c>
      <c r="L26" s="5">
        <v>61.5</v>
      </c>
      <c r="M26" s="6" t="s">
        <v>13</v>
      </c>
      <c r="N26" s="5">
        <v>67</v>
      </c>
      <c r="O26" s="6" t="s">
        <v>13</v>
      </c>
      <c r="P26" s="5">
        <f>ROUND(AVERAGE(N26,L26,J26),2)</f>
        <v>59.83</v>
      </c>
      <c r="Q26" s="5">
        <f t="shared" si="3"/>
        <v>59.83</v>
      </c>
    </row>
    <row r="27" spans="5:17" ht="30.75" thickBot="1" x14ac:dyDescent="0.3">
      <c r="E27" s="8">
        <v>15</v>
      </c>
      <c r="F27" s="1">
        <v>5782627</v>
      </c>
      <c r="G27" s="13">
        <v>40</v>
      </c>
      <c r="H27" s="13" t="s">
        <v>25</v>
      </c>
      <c r="I27" s="19" t="s">
        <v>41</v>
      </c>
      <c r="J27" s="5">
        <v>2.5</v>
      </c>
      <c r="K27" s="6" t="s">
        <v>13</v>
      </c>
      <c r="L27" s="5">
        <v>0.68</v>
      </c>
      <c r="M27" s="6" t="s">
        <v>13</v>
      </c>
      <c r="N27" s="5">
        <f>59.99/50</f>
        <v>1.1998</v>
      </c>
      <c r="O27" s="6" t="s">
        <v>13</v>
      </c>
      <c r="P27" s="5">
        <f t="shared" ref="P27:P41" si="6">ROUND(AVERAGE(N27,L27,J27),2)</f>
        <v>1.46</v>
      </c>
      <c r="Q27" s="5">
        <f t="shared" si="3"/>
        <v>58.4</v>
      </c>
    </row>
    <row r="28" spans="5:17" ht="30.75" thickBot="1" x14ac:dyDescent="0.3">
      <c r="E28" s="8">
        <v>16</v>
      </c>
      <c r="F28" s="1">
        <v>2495910</v>
      </c>
      <c r="G28" s="13">
        <v>1</v>
      </c>
      <c r="H28" s="13" t="s">
        <v>25</v>
      </c>
      <c r="I28" s="19" t="s">
        <v>68</v>
      </c>
      <c r="J28" s="5">
        <f>72.99/3</f>
        <v>24.33</v>
      </c>
      <c r="K28" s="6" t="s">
        <v>13</v>
      </c>
      <c r="L28" s="5">
        <v>20.88</v>
      </c>
      <c r="M28" s="6" t="s">
        <v>13</v>
      </c>
      <c r="N28" s="5">
        <v>20</v>
      </c>
      <c r="O28" s="6" t="s">
        <v>13</v>
      </c>
      <c r="P28" s="5">
        <f t="shared" si="6"/>
        <v>21.74</v>
      </c>
      <c r="Q28" s="5">
        <f t="shared" si="3"/>
        <v>21.74</v>
      </c>
    </row>
    <row r="29" spans="5:17" ht="30.75" thickBot="1" x14ac:dyDescent="0.3">
      <c r="E29" s="8">
        <v>17</v>
      </c>
      <c r="F29" s="1">
        <v>6017673</v>
      </c>
      <c r="G29" s="13">
        <v>8</v>
      </c>
      <c r="H29" s="13" t="s">
        <v>25</v>
      </c>
      <c r="I29" s="19" t="s">
        <v>82</v>
      </c>
      <c r="J29" s="5">
        <v>25</v>
      </c>
      <c r="K29" s="6" t="s">
        <v>13</v>
      </c>
      <c r="L29" s="5">
        <v>18.239999999999998</v>
      </c>
      <c r="M29" s="6" t="s">
        <v>13</v>
      </c>
      <c r="N29" s="5">
        <f>49.5/2</f>
        <v>24.75</v>
      </c>
      <c r="O29" s="6" t="s">
        <v>13</v>
      </c>
      <c r="P29" s="5">
        <f t="shared" si="6"/>
        <v>22.66</v>
      </c>
      <c r="Q29" s="5">
        <f t="shared" si="3"/>
        <v>181.28</v>
      </c>
    </row>
    <row r="30" spans="5:17" ht="15.75" thickBot="1" x14ac:dyDescent="0.3">
      <c r="E30" s="8">
        <v>18</v>
      </c>
      <c r="F30" s="1">
        <v>4897250</v>
      </c>
      <c r="G30" s="13">
        <v>3</v>
      </c>
      <c r="H30" s="13" t="s">
        <v>25</v>
      </c>
      <c r="I30" s="19" t="s">
        <v>44</v>
      </c>
      <c r="J30" s="5">
        <v>51.94</v>
      </c>
      <c r="K30" s="6" t="s">
        <v>13</v>
      </c>
      <c r="L30" s="5">
        <v>40.24</v>
      </c>
      <c r="M30" s="6" t="s">
        <v>13</v>
      </c>
      <c r="N30" s="5">
        <v>28.59</v>
      </c>
      <c r="O30" s="6" t="s">
        <v>13</v>
      </c>
      <c r="P30" s="5">
        <f t="shared" si="6"/>
        <v>40.26</v>
      </c>
      <c r="Q30" s="5">
        <f t="shared" si="3"/>
        <v>120.78</v>
      </c>
    </row>
    <row r="31" spans="5:17" ht="30.75" thickBot="1" x14ac:dyDescent="0.3">
      <c r="E31" s="8">
        <v>19</v>
      </c>
      <c r="F31" s="1">
        <v>6260985</v>
      </c>
      <c r="G31" s="13">
        <v>2</v>
      </c>
      <c r="H31" s="13" t="s">
        <v>25</v>
      </c>
      <c r="I31" s="19" t="s">
        <v>69</v>
      </c>
      <c r="J31" s="5">
        <v>21.99</v>
      </c>
      <c r="K31" s="6" t="s">
        <v>13</v>
      </c>
      <c r="L31" s="5">
        <v>29.9</v>
      </c>
      <c r="M31" s="6" t="s">
        <v>13</v>
      </c>
      <c r="N31" s="5">
        <v>27.06</v>
      </c>
      <c r="O31" s="6" t="s">
        <v>13</v>
      </c>
      <c r="P31" s="5">
        <f t="shared" si="6"/>
        <v>26.32</v>
      </c>
      <c r="Q31" s="5">
        <f t="shared" si="3"/>
        <v>52.64</v>
      </c>
    </row>
    <row r="32" spans="5:17" ht="30.75" thickBot="1" x14ac:dyDescent="0.3">
      <c r="E32" s="8">
        <v>20</v>
      </c>
      <c r="F32" s="1">
        <v>4895100</v>
      </c>
      <c r="G32" s="13">
        <v>4</v>
      </c>
      <c r="H32" s="13" t="s">
        <v>25</v>
      </c>
      <c r="I32" s="19" t="s">
        <v>46</v>
      </c>
      <c r="J32" s="5">
        <v>28.48</v>
      </c>
      <c r="K32" s="6" t="s">
        <v>13</v>
      </c>
      <c r="L32" s="5">
        <v>30.98</v>
      </c>
      <c r="M32" s="6" t="s">
        <v>13</v>
      </c>
      <c r="N32" s="5">
        <v>61.64</v>
      </c>
      <c r="O32" s="6" t="s">
        <v>13</v>
      </c>
      <c r="P32" s="5">
        <f t="shared" si="6"/>
        <v>40.369999999999997</v>
      </c>
      <c r="Q32" s="5">
        <f t="shared" si="3"/>
        <v>161.47999999999999</v>
      </c>
    </row>
    <row r="33" spans="5:17" ht="15.75" thickBot="1" x14ac:dyDescent="0.3">
      <c r="E33" s="8">
        <v>21</v>
      </c>
      <c r="F33" s="1">
        <v>6145736</v>
      </c>
      <c r="G33" s="13">
        <v>1</v>
      </c>
      <c r="H33" s="13" t="s">
        <v>25</v>
      </c>
      <c r="I33" s="19" t="s">
        <v>83</v>
      </c>
      <c r="J33" s="5">
        <f>4*2.8</f>
        <v>11.2</v>
      </c>
      <c r="K33" s="6" t="s">
        <v>13</v>
      </c>
      <c r="L33" s="5">
        <v>13.9</v>
      </c>
      <c r="M33" s="6" t="s">
        <v>13</v>
      </c>
      <c r="N33" s="5">
        <v>14.9</v>
      </c>
      <c r="O33" s="6" t="s">
        <v>13</v>
      </c>
      <c r="P33" s="5">
        <f t="shared" si="6"/>
        <v>13.33</v>
      </c>
      <c r="Q33" s="5">
        <f t="shared" si="3"/>
        <v>13.33</v>
      </c>
    </row>
    <row r="34" spans="5:17" ht="15.75" thickBot="1" x14ac:dyDescent="0.3">
      <c r="E34" s="8">
        <v>22</v>
      </c>
      <c r="F34" s="1">
        <v>6264336</v>
      </c>
      <c r="G34" s="13">
        <v>1</v>
      </c>
      <c r="H34" s="13" t="s">
        <v>25</v>
      </c>
      <c r="I34" s="19" t="s">
        <v>84</v>
      </c>
      <c r="J34" s="5">
        <v>18.989999999999998</v>
      </c>
      <c r="K34" s="6" t="s">
        <v>13</v>
      </c>
      <c r="L34" s="5">
        <v>13.9</v>
      </c>
      <c r="M34" s="6" t="s">
        <v>13</v>
      </c>
      <c r="N34" s="5">
        <v>13.9</v>
      </c>
      <c r="O34" s="6" t="s">
        <v>13</v>
      </c>
      <c r="P34" s="5">
        <f t="shared" si="6"/>
        <v>15.6</v>
      </c>
      <c r="Q34" s="5">
        <f t="shared" si="3"/>
        <v>15.6</v>
      </c>
    </row>
    <row r="35" spans="5:17" ht="15.75" thickBot="1" x14ac:dyDescent="0.3">
      <c r="E35" s="8">
        <v>23</v>
      </c>
      <c r="F35" s="1">
        <v>5023513</v>
      </c>
      <c r="G35" s="13">
        <v>1</v>
      </c>
      <c r="H35" s="13" t="s">
        <v>25</v>
      </c>
      <c r="I35" s="19" t="s">
        <v>85</v>
      </c>
      <c r="J35" s="5">
        <v>11.9</v>
      </c>
      <c r="K35" s="6" t="s">
        <v>13</v>
      </c>
      <c r="L35" s="5">
        <v>19.010000000000002</v>
      </c>
      <c r="M35" s="6" t="s">
        <v>13</v>
      </c>
      <c r="N35" s="5">
        <v>13.9</v>
      </c>
      <c r="O35" s="6" t="s">
        <v>13</v>
      </c>
      <c r="P35" s="5">
        <f t="shared" si="6"/>
        <v>14.94</v>
      </c>
      <c r="Q35" s="5">
        <f t="shared" si="3"/>
        <v>14.94</v>
      </c>
    </row>
    <row r="36" spans="5:17" ht="45.75" thickBot="1" x14ac:dyDescent="0.3">
      <c r="E36" s="8">
        <v>24</v>
      </c>
      <c r="F36" s="1">
        <v>5785375</v>
      </c>
      <c r="G36" s="13">
        <v>1</v>
      </c>
      <c r="H36" s="13" t="s">
        <v>25</v>
      </c>
      <c r="I36" s="19" t="s">
        <v>50</v>
      </c>
      <c r="J36" s="5">
        <v>349.9</v>
      </c>
      <c r="K36" s="6" t="s">
        <v>13</v>
      </c>
      <c r="L36" s="18"/>
      <c r="M36" s="6" t="s">
        <v>13</v>
      </c>
      <c r="N36" s="18"/>
      <c r="O36" s="6" t="s">
        <v>13</v>
      </c>
      <c r="P36" s="5">
        <f t="shared" si="6"/>
        <v>349.9</v>
      </c>
      <c r="Q36" s="5">
        <f t="shared" si="3"/>
        <v>349.9</v>
      </c>
    </row>
    <row r="37" spans="5:17" ht="45.75" thickBot="1" x14ac:dyDescent="0.3">
      <c r="E37" s="8">
        <v>25</v>
      </c>
      <c r="F37" s="1">
        <v>5841550</v>
      </c>
      <c r="G37" s="13">
        <v>2</v>
      </c>
      <c r="H37" s="13" t="s">
        <v>25</v>
      </c>
      <c r="I37" s="19" t="s">
        <v>51</v>
      </c>
      <c r="J37" s="5">
        <v>109.9</v>
      </c>
      <c r="K37" s="6" t="s">
        <v>13</v>
      </c>
      <c r="L37" s="5">
        <v>114.9</v>
      </c>
      <c r="M37" s="6" t="s">
        <v>13</v>
      </c>
      <c r="N37" s="5">
        <v>99.9</v>
      </c>
      <c r="O37" s="6" t="s">
        <v>13</v>
      </c>
      <c r="P37" s="5">
        <f t="shared" si="6"/>
        <v>108.23</v>
      </c>
      <c r="Q37" s="5">
        <f t="shared" si="3"/>
        <v>216.46</v>
      </c>
    </row>
    <row r="38" spans="5:17" ht="30.75" thickBot="1" x14ac:dyDescent="0.3">
      <c r="E38" s="8">
        <v>26</v>
      </c>
      <c r="F38" s="1">
        <v>6195822</v>
      </c>
      <c r="G38" s="13">
        <v>2</v>
      </c>
      <c r="H38" s="13" t="s">
        <v>25</v>
      </c>
      <c r="I38" s="19" t="s">
        <v>52</v>
      </c>
      <c r="J38" s="5">
        <v>213.85</v>
      </c>
      <c r="K38" s="6" t="s">
        <v>13</v>
      </c>
      <c r="L38" s="5">
        <v>115.9</v>
      </c>
      <c r="M38" s="6" t="s">
        <v>13</v>
      </c>
      <c r="N38" s="5">
        <v>169</v>
      </c>
      <c r="O38" s="6" t="s">
        <v>13</v>
      </c>
      <c r="P38" s="5">
        <f t="shared" si="6"/>
        <v>166.25</v>
      </c>
      <c r="Q38" s="5">
        <f t="shared" si="3"/>
        <v>332.5</v>
      </c>
    </row>
    <row r="39" spans="5:17" ht="31.5" thickBot="1" x14ac:dyDescent="0.3">
      <c r="E39" s="8">
        <v>27</v>
      </c>
      <c r="F39" s="1">
        <v>5488605</v>
      </c>
      <c r="G39" s="13">
        <v>4</v>
      </c>
      <c r="H39" s="13" t="s">
        <v>25</v>
      </c>
      <c r="I39" s="19" t="s">
        <v>53</v>
      </c>
      <c r="J39" s="5">
        <v>849.9</v>
      </c>
      <c r="K39" s="6" t="s">
        <v>13</v>
      </c>
      <c r="L39" s="18"/>
      <c r="M39" s="6" t="s">
        <v>13</v>
      </c>
      <c r="N39" s="18"/>
      <c r="O39" s="6" t="s">
        <v>13</v>
      </c>
      <c r="P39" s="5">
        <f t="shared" si="6"/>
        <v>849.9</v>
      </c>
      <c r="Q39" s="5">
        <f t="shared" si="3"/>
        <v>3399.6</v>
      </c>
    </row>
    <row r="40" spans="5:17" ht="15.75" thickBot="1" x14ac:dyDescent="0.3">
      <c r="E40" s="8">
        <v>28</v>
      </c>
      <c r="F40" s="1">
        <v>6300251</v>
      </c>
      <c r="G40" s="13">
        <v>4</v>
      </c>
      <c r="H40" s="13" t="s">
        <v>25</v>
      </c>
      <c r="I40" s="20" t="s">
        <v>54</v>
      </c>
      <c r="J40" s="5">
        <v>14</v>
      </c>
      <c r="K40" s="6" t="s">
        <v>13</v>
      </c>
      <c r="L40" s="5">
        <v>3.85</v>
      </c>
      <c r="M40" s="6" t="s">
        <v>13</v>
      </c>
      <c r="N40" s="5">
        <f>19.8/5</f>
        <v>3.96</v>
      </c>
      <c r="O40" s="6" t="s">
        <v>13</v>
      </c>
      <c r="P40" s="5">
        <f t="shared" si="6"/>
        <v>7.27</v>
      </c>
      <c r="Q40" s="5">
        <f t="shared" si="3"/>
        <v>29.08</v>
      </c>
    </row>
    <row r="41" spans="5:17" ht="15.75" thickBot="1" x14ac:dyDescent="0.3">
      <c r="E41" s="8">
        <v>29</v>
      </c>
      <c r="F41" s="1">
        <v>5409292</v>
      </c>
      <c r="G41" s="13">
        <v>2</v>
      </c>
      <c r="H41" s="13" t="s">
        <v>25</v>
      </c>
      <c r="I41" s="20" t="s">
        <v>70</v>
      </c>
      <c r="J41" s="5">
        <f>23.74/10</f>
        <v>2.3739999999999997</v>
      </c>
      <c r="K41" s="6" t="s">
        <v>13</v>
      </c>
      <c r="L41" s="5">
        <v>3</v>
      </c>
      <c r="M41" s="6" t="s">
        <v>13</v>
      </c>
      <c r="N41" s="5">
        <f>42.96/10</f>
        <v>4.2960000000000003</v>
      </c>
      <c r="O41" s="6" t="s">
        <v>13</v>
      </c>
      <c r="P41" s="5">
        <f t="shared" si="6"/>
        <v>3.22</v>
      </c>
      <c r="Q41" s="5">
        <f t="shared" si="3"/>
        <v>6.44</v>
      </c>
    </row>
    <row r="42" spans="5:17" ht="30.75" thickBot="1" x14ac:dyDescent="0.3">
      <c r="E42" s="8">
        <v>30</v>
      </c>
      <c r="F42" s="1">
        <v>5308909</v>
      </c>
      <c r="G42" s="13">
        <v>3</v>
      </c>
      <c r="H42" s="13" t="s">
        <v>25</v>
      </c>
      <c r="I42" s="20" t="s">
        <v>71</v>
      </c>
      <c r="J42" s="5">
        <v>11.98</v>
      </c>
      <c r="K42" s="6" t="s">
        <v>13</v>
      </c>
      <c r="L42" s="5">
        <v>13.4</v>
      </c>
      <c r="M42" s="6" t="s">
        <v>13</v>
      </c>
      <c r="N42" s="5">
        <v>13.11</v>
      </c>
      <c r="O42" s="6" t="s">
        <v>13</v>
      </c>
      <c r="P42" s="5">
        <f>ROUND(AVERAGE(N42,L42,J42),2)</f>
        <v>12.83</v>
      </c>
      <c r="Q42" s="5">
        <f t="shared" si="3"/>
        <v>38.49</v>
      </c>
    </row>
    <row r="43" spans="5:17" ht="15.75" thickBot="1" x14ac:dyDescent="0.3">
      <c r="E43" s="8">
        <v>31</v>
      </c>
      <c r="F43" s="1">
        <v>5985382</v>
      </c>
      <c r="G43" s="13">
        <v>10</v>
      </c>
      <c r="H43" s="13" t="s">
        <v>25</v>
      </c>
      <c r="I43" s="20" t="s">
        <v>72</v>
      </c>
      <c r="J43" s="5">
        <v>0.08</v>
      </c>
      <c r="K43" s="6" t="s">
        <v>13</v>
      </c>
      <c r="L43" s="5">
        <v>0.09</v>
      </c>
      <c r="M43" s="6" t="s">
        <v>13</v>
      </c>
      <c r="N43" s="5">
        <v>0.09</v>
      </c>
      <c r="O43" s="6" t="s">
        <v>13</v>
      </c>
      <c r="P43" s="5">
        <f t="shared" ref="P43:P46" si="7">ROUND(AVERAGE(N43,L43,J43),2)</f>
        <v>0.09</v>
      </c>
      <c r="Q43" s="5">
        <f t="shared" si="3"/>
        <v>0.89999999999999991</v>
      </c>
    </row>
    <row r="44" spans="5:17" ht="15.75" thickBot="1" x14ac:dyDescent="0.3">
      <c r="E44" s="8">
        <v>32</v>
      </c>
      <c r="F44" s="1">
        <v>4787048</v>
      </c>
      <c r="G44" s="13">
        <v>4</v>
      </c>
      <c r="H44" s="13" t="s">
        <v>25</v>
      </c>
      <c r="I44" s="20" t="s">
        <v>73</v>
      </c>
      <c r="J44" s="5">
        <v>0.09</v>
      </c>
      <c r="K44" s="6" t="s">
        <v>13</v>
      </c>
      <c r="L44" s="5">
        <v>0.08</v>
      </c>
      <c r="M44" s="6" t="s">
        <v>13</v>
      </c>
      <c r="N44" s="5">
        <v>0.08</v>
      </c>
      <c r="O44" s="6" t="s">
        <v>13</v>
      </c>
      <c r="P44" s="5">
        <f t="shared" si="7"/>
        <v>0.08</v>
      </c>
      <c r="Q44" s="5">
        <f t="shared" si="3"/>
        <v>0.32</v>
      </c>
    </row>
    <row r="45" spans="5:17" ht="60.75" thickBot="1" x14ac:dyDescent="0.3">
      <c r="E45" s="8">
        <v>33</v>
      </c>
      <c r="F45" s="1">
        <v>5350905</v>
      </c>
      <c r="G45" s="13">
        <v>1</v>
      </c>
      <c r="H45" s="13" t="s">
        <v>25</v>
      </c>
      <c r="I45" s="20" t="s">
        <v>59</v>
      </c>
      <c r="J45" s="5">
        <v>933.77</v>
      </c>
      <c r="K45" s="6" t="s">
        <v>13</v>
      </c>
      <c r="L45" s="18"/>
      <c r="M45" s="6" t="s">
        <v>13</v>
      </c>
      <c r="N45" s="18"/>
      <c r="O45" s="6" t="s">
        <v>13</v>
      </c>
      <c r="P45" s="5">
        <f t="shared" si="7"/>
        <v>933.77</v>
      </c>
      <c r="Q45" s="5">
        <f t="shared" si="3"/>
        <v>933.77</v>
      </c>
    </row>
    <row r="46" spans="5:17" ht="30.75" thickBot="1" x14ac:dyDescent="0.3">
      <c r="E46" s="8">
        <v>34</v>
      </c>
      <c r="F46" s="4">
        <v>5489032</v>
      </c>
      <c r="G46" s="13">
        <v>2</v>
      </c>
      <c r="H46" s="13" t="s">
        <v>25</v>
      </c>
      <c r="I46" s="20" t="s">
        <v>86</v>
      </c>
      <c r="J46" s="5">
        <v>23.99</v>
      </c>
      <c r="K46" s="6" t="s">
        <v>13</v>
      </c>
      <c r="L46" s="5">
        <v>17.899999999999999</v>
      </c>
      <c r="M46" s="6" t="s">
        <v>13</v>
      </c>
      <c r="N46" s="5">
        <v>19</v>
      </c>
      <c r="O46" s="6" t="s">
        <v>13</v>
      </c>
      <c r="P46" s="5">
        <f t="shared" si="7"/>
        <v>20.3</v>
      </c>
      <c r="Q46" s="5">
        <f t="shared" si="3"/>
        <v>40.6</v>
      </c>
    </row>
    <row r="47" spans="5:17" ht="120.75" thickBot="1" x14ac:dyDescent="0.3">
      <c r="E47" s="8">
        <v>35</v>
      </c>
      <c r="F47" s="4">
        <v>5667917</v>
      </c>
      <c r="G47" s="13">
        <v>3</v>
      </c>
      <c r="H47" s="13" t="s">
        <v>25</v>
      </c>
      <c r="I47" s="20" t="s">
        <v>87</v>
      </c>
      <c r="J47" s="5">
        <v>104.62</v>
      </c>
      <c r="K47" s="6" t="s">
        <v>13</v>
      </c>
      <c r="L47" s="5">
        <v>68.260000000000005</v>
      </c>
      <c r="M47" s="6" t="s">
        <v>13</v>
      </c>
      <c r="N47" s="5">
        <v>80</v>
      </c>
      <c r="O47" s="6" t="s">
        <v>13</v>
      </c>
      <c r="P47" s="5">
        <f>ROUND(AVERAGE(N47,L47,J47),2)</f>
        <v>84.29</v>
      </c>
      <c r="Q47" s="5">
        <f>G47*P47</f>
        <v>252.87</v>
      </c>
    </row>
    <row r="48" spans="5:17" ht="105.75" thickBot="1" x14ac:dyDescent="0.3">
      <c r="E48" s="8">
        <v>36</v>
      </c>
      <c r="F48" s="4"/>
      <c r="G48" s="13">
        <v>1</v>
      </c>
      <c r="H48" s="13" t="s">
        <v>25</v>
      </c>
      <c r="I48" s="20" t="s">
        <v>74</v>
      </c>
      <c r="J48" s="5">
        <f>2024.69+521</f>
        <v>2545.69</v>
      </c>
      <c r="K48" s="21" t="s">
        <v>75</v>
      </c>
      <c r="L48" s="5">
        <f>1740+521</f>
        <v>2261</v>
      </c>
      <c r="M48" s="21" t="s">
        <v>75</v>
      </c>
      <c r="N48" s="5">
        <f>1690+521</f>
        <v>2211</v>
      </c>
      <c r="O48" s="21" t="s">
        <v>75</v>
      </c>
      <c r="P48" s="5">
        <f>ROUND(AVERAGE(N48,L48,J48),2)</f>
        <v>2339.23</v>
      </c>
      <c r="Q48" s="5">
        <f>G48*P48</f>
        <v>2339.23</v>
      </c>
    </row>
    <row r="49" spans="5:17" ht="15.75" hidden="1" thickBot="1" x14ac:dyDescent="0.3">
      <c r="E49" s="30" t="s">
        <v>23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2"/>
      <c r="Q49" s="5">
        <f>SUM(Q13:Q48)</f>
        <v>11193.66</v>
      </c>
    </row>
  </sheetData>
  <mergeCells count="4">
    <mergeCell ref="E3:Q3"/>
    <mergeCell ref="E9:P9"/>
    <mergeCell ref="E11:Q11"/>
    <mergeCell ref="E49:P49"/>
  </mergeCells>
  <hyperlinks>
    <hyperlink ref="K5" r:id="rId1" xr:uid="{BD01DA2F-94B3-47CA-B673-8B5C1D0BDB22}"/>
    <hyperlink ref="K6:K9" r:id="rId2" display="link" xr:uid="{CBD2F0A5-928B-4F1F-AAED-3EA01DB0CE90}"/>
    <hyperlink ref="M5" r:id="rId3" xr:uid="{A3E4861E-79A3-4096-BE0C-B134238E1A0E}"/>
    <hyperlink ref="M6:M9" r:id="rId4" display="link" xr:uid="{EB09F639-02FA-4D7A-8416-79B04FB51EBC}"/>
    <hyperlink ref="O5" r:id="rId5" xr:uid="{ADCB7812-E94F-4195-BB0E-1734855B89F5}"/>
    <hyperlink ref="O6:O9" r:id="rId6" display="link" xr:uid="{4A16D06C-8824-4045-8A17-246E88F34019}"/>
    <hyperlink ref="K6" r:id="rId7" xr:uid="{96C33D99-09EF-4E8E-B11B-B4A2A1E60059}"/>
    <hyperlink ref="K7" r:id="rId8" xr:uid="{2AB09737-B609-4DA3-ADBF-63F8FBEC6ED5}"/>
    <hyperlink ref="K8" r:id="rId9" xr:uid="{0C69CF7B-E8AA-465F-94C7-ACEF360F6237}"/>
    <hyperlink ref="M8" r:id="rId10" xr:uid="{2844505F-D1E9-478F-ACE0-579166F8E3C8}"/>
    <hyperlink ref="O8" r:id="rId11" xr:uid="{508240D6-15F8-4340-912F-3E1050CF4603}"/>
    <hyperlink ref="M7" r:id="rId12" xr:uid="{243610A1-23A8-45C5-9F27-155A288337A6}"/>
    <hyperlink ref="O7" r:id="rId13" xr:uid="{8AE2F760-B8DC-4578-8003-157B1D1F61B7}"/>
    <hyperlink ref="M6" r:id="rId14" xr:uid="{8C57BBD8-3051-43D9-9E3B-3481B294ED1D}"/>
    <hyperlink ref="O6" r:id="rId15" xr:uid="{B4AC75D8-4613-43BC-A3EB-5DDBFF1CDD62}"/>
    <hyperlink ref="K42" r:id="rId16" xr:uid="{02579E66-5B7E-42EE-A4EE-6D9C11E685CC}"/>
    <hyperlink ref="M42" r:id="rId17" xr:uid="{BE8315C7-F095-4733-8748-40212555676C}"/>
    <hyperlink ref="O42" r:id="rId18" xr:uid="{BD958A68-EE58-4087-B58D-47570172AB56}"/>
    <hyperlink ref="K43" r:id="rId19" xr:uid="{C6BE6515-E509-4A1A-BFEB-94DF9BB33F24}"/>
    <hyperlink ref="K44" r:id="rId20" xr:uid="{5D6A5F43-7B9C-4E51-981A-9516C4B0E853}"/>
    <hyperlink ref="M44" r:id="rId21" xr:uid="{E786C8C1-92CA-4941-9D4B-6C8F6512AFD6}"/>
    <hyperlink ref="O44" r:id="rId22" xr:uid="{25084E27-8C25-4ED8-A6DD-67CD9C1DBA32}"/>
    <hyperlink ref="M43" r:id="rId23" xr:uid="{FD11ED70-BD97-4F66-9791-6E0C6354836E}"/>
    <hyperlink ref="O43" r:id="rId24" xr:uid="{C533AEB5-D35A-40B0-82F5-C911B61C5532}"/>
    <hyperlink ref="K30:K41" r:id="rId25" display="link" xr:uid="{FCBDB2B5-9A59-42A9-9A9A-F25F5D889124}"/>
    <hyperlink ref="M30:M41" r:id="rId26" display="link" xr:uid="{5E42F027-BCAD-410D-A2CA-E341B31D5346}"/>
    <hyperlink ref="O30:O41" r:id="rId27" display="link" xr:uid="{E3C11CB8-70E7-47C2-B55F-2D3EDA40A572}"/>
    <hyperlink ref="K26" r:id="rId28" xr:uid="{6CB1327B-78A0-4316-9D7A-31410FBCB128}"/>
    <hyperlink ref="K27:K29" r:id="rId29" display="link" xr:uid="{ED232542-687A-49D3-B240-1E8CB4B12BC6}"/>
    <hyperlink ref="M26" r:id="rId30" xr:uid="{BB86827C-2841-437A-A8AB-46695A7804C5}"/>
    <hyperlink ref="M27:M29" r:id="rId31" display="link" xr:uid="{9EE0E027-7325-4385-B873-C7398A9D6979}"/>
    <hyperlink ref="O26" r:id="rId32" xr:uid="{1E6465DE-F019-4F77-9FDC-34A02B60FE5B}"/>
    <hyperlink ref="O27:O29" r:id="rId33" display="link" xr:uid="{90D6E968-AC58-4115-8619-9876DBCDC8E0}"/>
    <hyperlink ref="K27" r:id="rId34" xr:uid="{AD0A87F7-38CC-4236-A90B-B9A97130A027}"/>
    <hyperlink ref="K28" r:id="rId35" location="is_advertising=true&amp;searchVariation=MLBU2939827735&amp;backend_model=search-backend&amp;position=3&amp;search_layout=grid&amp;type=pad&amp;tracking_id=d55b636d-eb77-4774-aa8a-ab1f4358227f&amp;ad_domain=VQCATCORE_LST&amp;ad_position=3&amp;ad_click_id=MTRlMmFmMDItMGNjNC00NDIzLTkwYWUtMjE5Nzc2YWE4NDY1" xr:uid="{8F4E4FB3-2736-4292-B967-2D8EB7104886}"/>
    <hyperlink ref="K29" r:id="rId36" xr:uid="{12D5983A-F8F0-4528-9ECD-C2259A0E5D9D}"/>
    <hyperlink ref="M29" r:id="rId37" location="derivacao=8" xr:uid="{C358B57B-873F-4F44-A0EF-0339B9437CC9}"/>
    <hyperlink ref="O29" r:id="rId38" xr:uid="{7BB870AF-868B-430E-BFC5-0A40A2CF111E}"/>
    <hyperlink ref="M28" r:id="rId39" xr:uid="{A4C2755E-E5F8-4E5E-B272-E1AB1D1932ED}"/>
    <hyperlink ref="O28" r:id="rId40" xr:uid="{C46DF38C-6DB7-4868-BE53-F9F9DD539ABF}"/>
    <hyperlink ref="M27" r:id="rId41" xr:uid="{169395D5-508E-4710-A1E7-1606645E4FD1}"/>
    <hyperlink ref="O27" r:id="rId42" location="polycard_client=search-nordic&amp;search_layout=stack&amp;position=3&amp;type=product&amp;tracking_id=2622fad7-ccf2-436b-b59e-0c94867e764c&amp;wid=MLB1412581889&amp;sid=search" xr:uid="{A4494637-03FF-4350-A9BC-0C2B46F4E9A1}"/>
    <hyperlink ref="K45:K46" r:id="rId43" display="link" xr:uid="{E94E1FA5-E0AE-4D03-828E-95AEE79A4784}"/>
    <hyperlink ref="M45:M46" r:id="rId44" display="link" xr:uid="{1941A202-806B-4C8E-9082-D39455E3904B}"/>
    <hyperlink ref="O45:O46" r:id="rId45" display="link" xr:uid="{A03BD6E1-0AD4-40CF-8049-660440F3F64D}"/>
    <hyperlink ref="M13" r:id="rId46" xr:uid="{53B512F0-A9CD-4E1C-94C2-6F7D9CF4759C}"/>
    <hyperlink ref="O13" r:id="rId47" xr:uid="{49777FF3-B39D-43A8-9B7A-AC5C7421041A}"/>
    <hyperlink ref="K14" r:id="rId48" xr:uid="{40E48D33-E626-416D-AF9B-99D22E252CDE}"/>
    <hyperlink ref="M14" r:id="rId49" xr:uid="{0F67B30E-09CD-484D-B932-9F25A291C521}"/>
    <hyperlink ref="O14" r:id="rId50" xr:uid="{5C1D53ED-8369-45EE-A58E-C29D39CA4D74}"/>
    <hyperlink ref="K15" r:id="rId51" xr:uid="{39D01C2E-CA81-4890-A8E1-6AE3E9C1B463}"/>
    <hyperlink ref="M15" r:id="rId52" xr:uid="{BABA832A-A1E4-45D9-AC0A-0DD92EA329FB}"/>
    <hyperlink ref="O15" r:id="rId53" xr:uid="{55B2B03E-2C05-427A-ADB3-6344857E0FF1}"/>
    <hyperlink ref="K16" r:id="rId54" xr:uid="{DA3D7FD5-28AE-4B7A-9C3E-6ECC4CAF5056}"/>
    <hyperlink ref="M16" r:id="rId55" xr:uid="{145FE3E8-2CA3-4B6C-A1F0-9DF338A51C79}"/>
    <hyperlink ref="O16" r:id="rId56" xr:uid="{33A5E6DC-3F9A-4711-A7AB-DBEDD2EB9AD8}"/>
    <hyperlink ref="K17" r:id="rId57" xr:uid="{806DED27-00F8-4DCA-9BD4-6438646DA024}"/>
    <hyperlink ref="K18:K22" r:id="rId58" display="link" xr:uid="{246FEFA9-46D6-4699-86EB-3482815984E2}"/>
    <hyperlink ref="M17" r:id="rId59" xr:uid="{BE9C11F2-8AF7-4F07-B645-D0AE5B95D11F}"/>
    <hyperlink ref="M18:M22" r:id="rId60" display="link" xr:uid="{D4781459-B567-4878-A9FE-B5E1548540D7}"/>
    <hyperlink ref="O17" r:id="rId61" xr:uid="{FF347166-713A-4E2D-A2E5-EF11B0BF7F94}"/>
    <hyperlink ref="O18:O22" r:id="rId62" display="link" xr:uid="{50D2E35A-C9BE-4879-9277-AF05988CA388}"/>
    <hyperlink ref="K23" r:id="rId63" location="polycard_client=search_best-seller&amp;tracking_id=3f465951-442e-438f-a8a1-874f77b77430&amp;wid=MLB5599275528&amp;sid=search" xr:uid="{4C1990C3-B898-4368-AB3D-BB8A81C5C83C}"/>
    <hyperlink ref="M23" r:id="rId64" xr:uid="{E1C0C0DB-A6E6-496D-A625-2DD12DA6632C}"/>
    <hyperlink ref="O23" r:id="rId65" xr:uid="{B0BED36C-CF93-40C4-94D7-5AF1EC8961C8}"/>
    <hyperlink ref="K24" r:id="rId66" xr:uid="{7C26E5BB-67B4-4822-B36E-3E2D494C86D0}"/>
    <hyperlink ref="M24" r:id="rId67" xr:uid="{B22457C7-B421-498D-8F26-2221E4D92F72}"/>
    <hyperlink ref="O24" r:id="rId68" xr:uid="{E9347165-4D59-452B-B753-9984EF20168A}"/>
    <hyperlink ref="K25" r:id="rId69" xr:uid="{1BE57216-605A-4EEB-8933-17927BD71A61}"/>
    <hyperlink ref="M25" r:id="rId70" xr:uid="{2C912966-92C2-4332-9016-8FC6C864CB63}"/>
    <hyperlink ref="O25" r:id="rId71" xr:uid="{64DB1415-4654-4004-A431-6AAA5EF48590}"/>
    <hyperlink ref="K30" r:id="rId72" xr:uid="{09D080BE-8458-4731-8B93-C81AD673F790}"/>
    <hyperlink ref="O30" r:id="rId73" xr:uid="{E47F47EB-ED3A-4241-AB41-93F260684B2B}"/>
    <hyperlink ref="M30" r:id="rId74" xr:uid="{C515B908-71EF-478C-8D8E-D0DADC186B44}"/>
    <hyperlink ref="K31" r:id="rId75" xr:uid="{1960A3BF-F6D6-4602-BBB2-80A39302B852}"/>
    <hyperlink ref="M31" r:id="rId76" xr:uid="{6BFE90A1-4FB6-4C5B-A733-C951164F91D9}"/>
    <hyperlink ref="O31" r:id="rId77" xr:uid="{B3A01528-DD89-4267-B269-A1349834BF83}"/>
    <hyperlink ref="K32" r:id="rId78" xr:uid="{A75C5897-6FED-4C22-9BE8-CD154D1F36BF}"/>
    <hyperlink ref="M32" r:id="rId79" xr:uid="{F553D254-5F25-4AAB-884F-0E06E7ACAB34}"/>
    <hyperlink ref="O32" r:id="rId80" xr:uid="{D5288E54-CE72-4EB2-A46B-3A82D8C2E1C5}"/>
    <hyperlink ref="K33" r:id="rId81" xr:uid="{6B195FD8-4DB4-46DC-BD14-5111AA9A48FF}"/>
    <hyperlink ref="M33" r:id="rId82" xr:uid="{2701DA28-6349-41F1-A244-F590CC1CDAC2}"/>
    <hyperlink ref="O33" r:id="rId83" xr:uid="{33595405-5EE9-4638-96F0-26A404DF1D9F}"/>
    <hyperlink ref="K34" r:id="rId84" xr:uid="{7AAD954E-DEF5-46F0-B43D-EB279C332615}"/>
    <hyperlink ref="M34" r:id="rId85" xr:uid="{30CF8DC3-0B00-4E76-AB15-A4B56CA993A8}"/>
    <hyperlink ref="O34" r:id="rId86" xr:uid="{0844407C-B221-41DB-BF3D-5AC356830E4F}"/>
    <hyperlink ref="K35" r:id="rId87" xr:uid="{9AA6970E-B01F-46CE-946D-4D53737976AE}"/>
    <hyperlink ref="M35" r:id="rId88" xr:uid="{D6A62FC3-62D0-4C0D-8B99-01BF9D5741C7}"/>
    <hyperlink ref="O35" r:id="rId89" xr:uid="{EE658D36-111D-4A97-A874-C64E04FE98C7}"/>
    <hyperlink ref="K36" r:id="rId90" xr:uid="{8E9664EF-9A31-44FA-9543-EFC37F20A026}"/>
    <hyperlink ref="K37" r:id="rId91" xr:uid="{55488815-7AA1-4572-AA9F-ACE94B1165A9}"/>
    <hyperlink ref="M37" r:id="rId92" location="polycard_client=search-nordic&amp;search_layout=stack&amp;position=1&amp;type=product&amp;tracking_id=94318a09-b8ed-4b62-8a00-9480a16c7ecc&amp;wid=MLB5416675902&amp;sid=search" xr:uid="{D17262AC-613C-4543-821B-510FB84F35B1}"/>
    <hyperlink ref="O37" r:id="rId93" xr:uid="{AE851982-ACB5-4D71-B3FD-711C1C8D4404}"/>
    <hyperlink ref="K38" r:id="rId94" xr:uid="{9FACDC06-9EB3-472A-8DD1-7A49382CEEBB}"/>
    <hyperlink ref="M38" r:id="rId95" xr:uid="{7CF9053E-6EEC-4277-A672-44AB42261858}"/>
    <hyperlink ref="O38" r:id="rId96" xr:uid="{88929001-565F-477F-956E-BFCD61854A4A}"/>
    <hyperlink ref="K39" r:id="rId97" xr:uid="{EAE888E6-CEC3-40A9-95AD-6DB4030AC8CA}"/>
    <hyperlink ref="K40" r:id="rId98" xr:uid="{74F0AE80-29DE-42C5-BF99-84B9FAF0E9EB}"/>
    <hyperlink ref="M40" r:id="rId99" xr:uid="{0BBC6AFD-C074-4BE3-A131-D6F903431FE6}"/>
    <hyperlink ref="O40" r:id="rId100" xr:uid="{3AE6776E-2A57-4036-B7E5-6D30390DA921}"/>
    <hyperlink ref="K41" r:id="rId101" xr:uid="{C19813CE-DE1C-4815-BC5F-A0CAA1465882}"/>
    <hyperlink ref="M41" r:id="rId102" xr:uid="{DF45BAB5-3BC6-4646-9BF5-F50C195B8682}"/>
    <hyperlink ref="O41" r:id="rId103" xr:uid="{79E71541-5C28-469B-9451-8153475584DB}"/>
    <hyperlink ref="K47" r:id="rId104" location="derivacao=8" xr:uid="{8E97633C-E110-4028-B7C4-5B7844B497EF}"/>
    <hyperlink ref="M47" r:id="rId105" xr:uid="{63964172-FB43-4829-9AA6-3E4C752B2122}"/>
    <hyperlink ref="O47" r:id="rId106" xr:uid="{557B90D5-2B90-4E5F-9A7A-458974B2665D}"/>
    <hyperlink ref="K45" r:id="rId107" xr:uid="{E4939161-D5B3-4296-BD62-2FC0C342882A}"/>
    <hyperlink ref="K46" r:id="rId108" xr:uid="{A458B5C7-90D7-4F9D-B728-3AAFB4F45510}"/>
    <hyperlink ref="M46" r:id="rId109" xr:uid="{F5DA209C-2BEB-4652-81D3-C68C1BC8C5D5}"/>
    <hyperlink ref="O46" r:id="rId110" xr:uid="{B64F8456-DD11-4FC8-82A0-992E8A2E1938}"/>
    <hyperlink ref="K48" r:id="rId111" display="link" xr:uid="{AB9EAB15-54B1-42CC-AC78-1F031E3616F2}"/>
    <hyperlink ref="M48" r:id="rId112" display="https://www.mercadolivre.com.br/controlador-logico-clic02-clw02-20vrd-3rd-24vcc-11268449/up/MLBU2886663265?pdp_filters=item_id:MLB5213852204" xr:uid="{DE85C630-CD24-4E0C-A3F0-B25341B8E645}"/>
    <hyperlink ref="O48" r:id="rId113" display="https://www.refercomercio.com.br/comandos-eletricos/reles/controlador-logico-programavel-weg-clp-clic02-24vcc-20vr?parceiro=5922&amp;srsltid=AfmBOop0xT7a1KEuh7rNT9ctz37owkZvUrRlnJtkh7P4WL_hSLNhSIa2Pk0" xr:uid="{7590BD5B-FFDD-4908-8BF7-63BFC63B7264}"/>
  </hyperlinks>
  <pageMargins left="0.7" right="0.7" top="0.75" bottom="0.75" header="0.3" footer="0.3"/>
  <pageSetup paperSize="9" scale="56" fitToHeight="0" orientation="landscape" r:id="rId1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F5B1-450A-4378-A890-460A2F9BD877}">
  <sheetPr>
    <pageSetUpPr fitToPage="1"/>
  </sheetPr>
  <dimension ref="A2:Q49"/>
  <sheetViews>
    <sheetView topLeftCell="A37" zoomScaleNormal="100" workbookViewId="0">
      <selection activeCell="G29" sqref="G29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9.140625" style="3"/>
    <col min="4" max="4" width="9.28515625" style="3" customWidth="1"/>
    <col min="5" max="5" width="10.140625" style="3" customWidth="1"/>
    <col min="6" max="6" width="25.5703125" style="3" hidden="1" customWidth="1"/>
    <col min="7" max="7" width="12.140625" style="3" customWidth="1"/>
    <col min="8" max="8" width="11" style="3" customWidth="1"/>
    <col min="9" max="9" width="64" style="3" customWidth="1"/>
    <col min="10" max="10" width="12" style="3" hidden="1" customWidth="1"/>
    <col min="11" max="11" width="9.7109375" style="3" hidden="1" customWidth="1"/>
    <col min="12" max="12" width="10.7109375" style="3" hidden="1" customWidth="1"/>
    <col min="13" max="13" width="7" style="3" hidden="1" customWidth="1"/>
    <col min="14" max="14" width="10.7109375" style="3" hidden="1" customWidth="1"/>
    <col min="15" max="15" width="10.28515625" style="3" hidden="1" customWidth="1"/>
    <col min="16" max="16" width="15.140625" style="3" customWidth="1"/>
    <col min="17" max="17" width="16.42578125" style="3" customWidth="1"/>
    <col min="18" max="16384" width="9.140625" style="3"/>
  </cols>
  <sheetData>
    <row r="2" spans="1:17" ht="15.75" thickBot="1" x14ac:dyDescent="0.3"/>
    <row r="3" spans="1:17" ht="15.75" thickBot="1" x14ac:dyDescent="0.3">
      <c r="A3" s="3" t="s">
        <v>14</v>
      </c>
      <c r="B3" s="22" t="str">
        <f>Q9</f>
        <v xml:space="preserve">  R$</v>
      </c>
      <c r="E3" s="27" t="s">
        <v>14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1:17" ht="30.75" thickBot="1" x14ac:dyDescent="0.3">
      <c r="A4" s="3" t="s">
        <v>24</v>
      </c>
      <c r="B4" s="22" t="str">
        <f>Q49</f>
        <v xml:space="preserve">  R$</v>
      </c>
      <c r="E4" s="1" t="s">
        <v>0</v>
      </c>
      <c r="F4" s="1" t="s">
        <v>6</v>
      </c>
      <c r="G4" s="1" t="s">
        <v>1</v>
      </c>
      <c r="H4" s="1" t="s">
        <v>2</v>
      </c>
      <c r="I4" s="1" t="s">
        <v>3</v>
      </c>
      <c r="J4" s="1" t="s">
        <v>7</v>
      </c>
      <c r="K4" s="1" t="s">
        <v>8</v>
      </c>
      <c r="L4" s="1" t="s">
        <v>9</v>
      </c>
      <c r="M4" s="1" t="s">
        <v>8</v>
      </c>
      <c r="N4" s="1" t="s">
        <v>10</v>
      </c>
      <c r="O4" s="1" t="s">
        <v>8</v>
      </c>
      <c r="P4" s="23" t="s">
        <v>91</v>
      </c>
      <c r="Q4" s="23" t="s">
        <v>92</v>
      </c>
    </row>
    <row r="5" spans="1:17" ht="135.75" thickBot="1" x14ac:dyDescent="0.3">
      <c r="B5" s="22">
        <f>SUM(B3:B4)</f>
        <v>0</v>
      </c>
      <c r="E5" s="4">
        <v>1</v>
      </c>
      <c r="F5" s="4">
        <v>5795001</v>
      </c>
      <c r="G5" s="4">
        <v>1000</v>
      </c>
      <c r="H5" s="7" t="s">
        <v>15</v>
      </c>
      <c r="I5" s="2" t="s">
        <v>22</v>
      </c>
      <c r="J5" s="5">
        <v>4.49</v>
      </c>
      <c r="K5" s="6" t="s">
        <v>13</v>
      </c>
      <c r="L5" s="5">
        <v>3.78</v>
      </c>
      <c r="M5" s="6" t="s">
        <v>13</v>
      </c>
      <c r="N5" s="5">
        <v>5.28</v>
      </c>
      <c r="O5" s="6" t="s">
        <v>13</v>
      </c>
      <c r="P5" s="26" t="s">
        <v>90</v>
      </c>
      <c r="Q5" s="26" t="s">
        <v>90</v>
      </c>
    </row>
    <row r="6" spans="1:17" ht="135.75" thickBot="1" x14ac:dyDescent="0.3">
      <c r="E6" s="4">
        <v>2</v>
      </c>
      <c r="F6" s="4">
        <v>5794293</v>
      </c>
      <c r="G6" s="4">
        <v>1000</v>
      </c>
      <c r="H6" s="7" t="s">
        <v>15</v>
      </c>
      <c r="I6" s="2" t="s">
        <v>16</v>
      </c>
      <c r="J6" s="5">
        <v>8.85</v>
      </c>
      <c r="K6" s="6" t="s">
        <v>13</v>
      </c>
      <c r="L6" s="5">
        <v>9.1199999999999992</v>
      </c>
      <c r="M6" s="6" t="s">
        <v>13</v>
      </c>
      <c r="N6" s="5">
        <f>460/50</f>
        <v>9.1999999999999993</v>
      </c>
      <c r="O6" s="6" t="s">
        <v>13</v>
      </c>
      <c r="P6" s="26" t="s">
        <v>90</v>
      </c>
      <c r="Q6" s="26" t="s">
        <v>90</v>
      </c>
    </row>
    <row r="7" spans="1:17" ht="90.75" thickBot="1" x14ac:dyDescent="0.3">
      <c r="E7" s="4">
        <v>3</v>
      </c>
      <c r="F7" s="4">
        <v>3957420</v>
      </c>
      <c r="G7" s="4">
        <v>1</v>
      </c>
      <c r="H7" s="7" t="s">
        <v>20</v>
      </c>
      <c r="I7" s="2" t="s">
        <v>17</v>
      </c>
      <c r="J7" s="5">
        <v>161.63</v>
      </c>
      <c r="K7" s="6" t="s">
        <v>13</v>
      </c>
      <c r="L7" s="5">
        <v>455.7</v>
      </c>
      <c r="M7" s="6" t="s">
        <v>13</v>
      </c>
      <c r="N7" s="5">
        <v>249.99</v>
      </c>
      <c r="O7" s="6" t="s">
        <v>13</v>
      </c>
      <c r="P7" s="26" t="s">
        <v>90</v>
      </c>
      <c r="Q7" s="26" t="s">
        <v>90</v>
      </c>
    </row>
    <row r="8" spans="1:17" ht="90.75" thickBot="1" x14ac:dyDescent="0.3">
      <c r="E8" s="4">
        <v>4</v>
      </c>
      <c r="F8" s="4">
        <v>2625628</v>
      </c>
      <c r="G8" s="4">
        <v>4</v>
      </c>
      <c r="H8" s="7" t="s">
        <v>19</v>
      </c>
      <c r="I8" s="2" t="s">
        <v>18</v>
      </c>
      <c r="J8" s="5">
        <v>207.69</v>
      </c>
      <c r="K8" s="6" t="s">
        <v>13</v>
      </c>
      <c r="L8" s="5">
        <f>100*2.23</f>
        <v>223</v>
      </c>
      <c r="M8" s="6" t="s">
        <v>13</v>
      </c>
      <c r="N8" s="5">
        <v>299</v>
      </c>
      <c r="O8" s="6" t="s">
        <v>13</v>
      </c>
      <c r="P8" s="26" t="s">
        <v>90</v>
      </c>
      <c r="Q8" s="26" t="s">
        <v>90</v>
      </c>
    </row>
    <row r="9" spans="1:17" ht="15.75" thickBot="1" x14ac:dyDescent="0.3">
      <c r="E9" s="30" t="s">
        <v>21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  <c r="Q9" s="26" t="s">
        <v>90</v>
      </c>
    </row>
    <row r="10" spans="1:17" ht="15.75" thickBot="1" x14ac:dyDescent="0.3"/>
    <row r="11" spans="1:17" ht="15.75" thickBot="1" x14ac:dyDescent="0.3">
      <c r="E11" s="27" t="s">
        <v>24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</row>
    <row r="12" spans="1:17" ht="30.75" thickBot="1" x14ac:dyDescent="0.3">
      <c r="E12" s="1" t="s">
        <v>0</v>
      </c>
      <c r="F12" s="1" t="s">
        <v>6</v>
      </c>
      <c r="G12" s="1" t="s">
        <v>1</v>
      </c>
      <c r="H12" s="1" t="s">
        <v>2</v>
      </c>
      <c r="I12" s="1" t="s">
        <v>3</v>
      </c>
      <c r="J12" s="1" t="s">
        <v>7</v>
      </c>
      <c r="K12" s="1" t="s">
        <v>8</v>
      </c>
      <c r="L12" s="1" t="s">
        <v>9</v>
      </c>
      <c r="M12" s="1" t="s">
        <v>8</v>
      </c>
      <c r="N12" s="1" t="s">
        <v>10</v>
      </c>
      <c r="O12" s="1" t="s">
        <v>8</v>
      </c>
      <c r="P12" s="23" t="s">
        <v>91</v>
      </c>
      <c r="Q12" s="23" t="s">
        <v>92</v>
      </c>
    </row>
    <row r="13" spans="1:17" ht="45.75" thickBot="1" x14ac:dyDescent="0.3">
      <c r="E13" s="8">
        <v>1</v>
      </c>
      <c r="F13" s="1">
        <v>2161389</v>
      </c>
      <c r="G13" s="13">
        <v>200</v>
      </c>
      <c r="H13" s="13" t="s">
        <v>25</v>
      </c>
      <c r="I13" s="19" t="s">
        <v>62</v>
      </c>
      <c r="J13" s="5">
        <v>6.96</v>
      </c>
      <c r="K13" s="6" t="s">
        <v>13</v>
      </c>
      <c r="L13" s="5">
        <v>12.9</v>
      </c>
      <c r="M13" s="6" t="s">
        <v>13</v>
      </c>
      <c r="N13" s="5">
        <v>7.8</v>
      </c>
      <c r="O13" s="6" t="s">
        <v>13</v>
      </c>
      <c r="P13" s="26" t="s">
        <v>90</v>
      </c>
      <c r="Q13" s="26" t="s">
        <v>90</v>
      </c>
    </row>
    <row r="14" spans="1:17" ht="15.75" thickBot="1" x14ac:dyDescent="0.3">
      <c r="E14" s="8">
        <v>2</v>
      </c>
      <c r="F14" s="1">
        <v>4120582</v>
      </c>
      <c r="G14" s="13">
        <v>1</v>
      </c>
      <c r="H14" s="13" t="s">
        <v>27</v>
      </c>
      <c r="I14" s="19" t="s">
        <v>63</v>
      </c>
      <c r="J14" s="5">
        <v>7.49</v>
      </c>
      <c r="K14" s="6" t="s">
        <v>13</v>
      </c>
      <c r="L14" s="5">
        <v>8.5</v>
      </c>
      <c r="M14" s="6" t="s">
        <v>13</v>
      </c>
      <c r="N14" s="5">
        <v>5.8</v>
      </c>
      <c r="O14" s="6" t="s">
        <v>13</v>
      </c>
      <c r="P14" s="26" t="s">
        <v>90</v>
      </c>
      <c r="Q14" s="26" t="s">
        <v>90</v>
      </c>
    </row>
    <row r="15" spans="1:17" ht="30.75" thickBot="1" x14ac:dyDescent="0.3">
      <c r="E15" s="8">
        <v>3</v>
      </c>
      <c r="F15" s="1">
        <v>3138550</v>
      </c>
      <c r="G15" s="13">
        <v>4</v>
      </c>
      <c r="H15" s="13" t="s">
        <v>25</v>
      </c>
      <c r="I15" s="19" t="s">
        <v>64</v>
      </c>
      <c r="J15" s="5">
        <v>12.2</v>
      </c>
      <c r="K15" s="6" t="s">
        <v>13</v>
      </c>
      <c r="L15" s="5">
        <v>15</v>
      </c>
      <c r="M15" s="6" t="s">
        <v>13</v>
      </c>
      <c r="N15" s="5">
        <v>16.489999999999998</v>
      </c>
      <c r="O15" s="6" t="s">
        <v>13</v>
      </c>
      <c r="P15" s="26" t="s">
        <v>90</v>
      </c>
      <c r="Q15" s="26" t="s">
        <v>90</v>
      </c>
    </row>
    <row r="16" spans="1:17" ht="30.75" thickBot="1" x14ac:dyDescent="0.3">
      <c r="E16" s="8">
        <v>4</v>
      </c>
      <c r="F16" s="1">
        <v>6227937</v>
      </c>
      <c r="G16" s="13">
        <v>4</v>
      </c>
      <c r="H16" s="13" t="s">
        <v>25</v>
      </c>
      <c r="I16" s="19" t="s">
        <v>65</v>
      </c>
      <c r="J16" s="5">
        <v>12.2</v>
      </c>
      <c r="K16" s="6" t="s">
        <v>13</v>
      </c>
      <c r="L16" s="5">
        <v>15</v>
      </c>
      <c r="M16" s="6" t="s">
        <v>13</v>
      </c>
      <c r="N16" s="5">
        <v>16.489999999999998</v>
      </c>
      <c r="O16" s="6" t="s">
        <v>13</v>
      </c>
      <c r="P16" s="26" t="s">
        <v>90</v>
      </c>
      <c r="Q16" s="26" t="s">
        <v>90</v>
      </c>
    </row>
    <row r="17" spans="5:17" ht="45.75" thickBot="1" x14ac:dyDescent="0.3">
      <c r="E17" s="8">
        <v>5</v>
      </c>
      <c r="F17" s="1">
        <v>5998786</v>
      </c>
      <c r="G17" s="13">
        <v>3</v>
      </c>
      <c r="H17" s="17" t="s">
        <v>30</v>
      </c>
      <c r="I17" s="19" t="s">
        <v>76</v>
      </c>
      <c r="J17" s="5">
        <v>0.98</v>
      </c>
      <c r="K17" s="6" t="s">
        <v>13</v>
      </c>
      <c r="L17" s="5">
        <f>163/100</f>
        <v>1.63</v>
      </c>
      <c r="M17" s="6" t="s">
        <v>13</v>
      </c>
      <c r="N17" s="5">
        <f>33.15/30</f>
        <v>1.105</v>
      </c>
      <c r="O17" s="6" t="s">
        <v>13</v>
      </c>
      <c r="P17" s="26" t="s">
        <v>90</v>
      </c>
      <c r="Q17" s="26" t="s">
        <v>90</v>
      </c>
    </row>
    <row r="18" spans="5:17" ht="45.75" thickBot="1" x14ac:dyDescent="0.3">
      <c r="E18" s="8">
        <v>6</v>
      </c>
      <c r="F18" s="1">
        <v>419761</v>
      </c>
      <c r="G18" s="13">
        <v>3</v>
      </c>
      <c r="H18" s="17" t="s">
        <v>30</v>
      </c>
      <c r="I18" s="19" t="s">
        <v>77</v>
      </c>
      <c r="J18" s="5">
        <v>0.98</v>
      </c>
      <c r="K18" s="6" t="s">
        <v>13</v>
      </c>
      <c r="L18" s="5">
        <f t="shared" ref="L18:L22" si="0">163/100</f>
        <v>1.63</v>
      </c>
      <c r="M18" s="6" t="s">
        <v>13</v>
      </c>
      <c r="N18" s="5">
        <f t="shared" ref="N18:N22" si="1">33.15/30</f>
        <v>1.105</v>
      </c>
      <c r="O18" s="6" t="s">
        <v>13</v>
      </c>
      <c r="P18" s="26" t="s">
        <v>90</v>
      </c>
      <c r="Q18" s="26" t="s">
        <v>90</v>
      </c>
    </row>
    <row r="19" spans="5:17" ht="45.75" thickBot="1" x14ac:dyDescent="0.3">
      <c r="E19" s="8">
        <v>7</v>
      </c>
      <c r="F19" s="1">
        <v>6315658</v>
      </c>
      <c r="G19" s="13">
        <v>3</v>
      </c>
      <c r="H19" s="17" t="s">
        <v>30</v>
      </c>
      <c r="I19" s="19" t="s">
        <v>78</v>
      </c>
      <c r="J19" s="5">
        <v>0.98</v>
      </c>
      <c r="K19" s="6" t="s">
        <v>13</v>
      </c>
      <c r="L19" s="5">
        <f t="shared" si="0"/>
        <v>1.63</v>
      </c>
      <c r="M19" s="6" t="s">
        <v>13</v>
      </c>
      <c r="N19" s="5">
        <f t="shared" si="1"/>
        <v>1.105</v>
      </c>
      <c r="O19" s="6" t="s">
        <v>13</v>
      </c>
      <c r="P19" s="26" t="s">
        <v>90</v>
      </c>
      <c r="Q19" s="26" t="s">
        <v>90</v>
      </c>
    </row>
    <row r="20" spans="5:17" ht="45.75" thickBot="1" x14ac:dyDescent="0.3">
      <c r="E20" s="8">
        <v>8</v>
      </c>
      <c r="F20" s="1">
        <v>6315615</v>
      </c>
      <c r="G20" s="13">
        <v>5</v>
      </c>
      <c r="H20" s="17" t="s">
        <v>30</v>
      </c>
      <c r="I20" s="19" t="s">
        <v>79</v>
      </c>
      <c r="J20" s="5">
        <v>0.98</v>
      </c>
      <c r="K20" s="6" t="s">
        <v>13</v>
      </c>
      <c r="L20" s="5">
        <f t="shared" si="0"/>
        <v>1.63</v>
      </c>
      <c r="M20" s="6" t="s">
        <v>13</v>
      </c>
      <c r="N20" s="5">
        <f t="shared" si="1"/>
        <v>1.105</v>
      </c>
      <c r="O20" s="6" t="s">
        <v>13</v>
      </c>
      <c r="P20" s="26" t="s">
        <v>90</v>
      </c>
      <c r="Q20" s="26" t="s">
        <v>90</v>
      </c>
    </row>
    <row r="21" spans="5:17" ht="45.75" thickBot="1" x14ac:dyDescent="0.3">
      <c r="E21" s="8">
        <v>9</v>
      </c>
      <c r="F21" s="1">
        <v>5902568</v>
      </c>
      <c r="G21" s="13">
        <v>5</v>
      </c>
      <c r="H21" s="17" t="s">
        <v>30</v>
      </c>
      <c r="I21" s="19" t="s">
        <v>80</v>
      </c>
      <c r="J21" s="5">
        <v>0.98</v>
      </c>
      <c r="K21" s="6" t="s">
        <v>13</v>
      </c>
      <c r="L21" s="5">
        <f t="shared" si="0"/>
        <v>1.63</v>
      </c>
      <c r="M21" s="6" t="s">
        <v>13</v>
      </c>
      <c r="N21" s="5">
        <f t="shared" si="1"/>
        <v>1.105</v>
      </c>
      <c r="O21" s="6" t="s">
        <v>13</v>
      </c>
      <c r="P21" s="26" t="s">
        <v>90</v>
      </c>
      <c r="Q21" s="26" t="s">
        <v>90</v>
      </c>
    </row>
    <row r="22" spans="5:17" ht="45.75" thickBot="1" x14ac:dyDescent="0.3">
      <c r="E22" s="8">
        <v>10</v>
      </c>
      <c r="F22" s="1">
        <v>5853117</v>
      </c>
      <c r="G22" s="13">
        <v>5</v>
      </c>
      <c r="H22" s="17" t="s">
        <v>30</v>
      </c>
      <c r="I22" s="19" t="s">
        <v>81</v>
      </c>
      <c r="J22" s="5">
        <v>0.98</v>
      </c>
      <c r="K22" s="6" t="s">
        <v>13</v>
      </c>
      <c r="L22" s="5">
        <f t="shared" si="0"/>
        <v>1.63</v>
      </c>
      <c r="M22" s="6" t="s">
        <v>13</v>
      </c>
      <c r="N22" s="5">
        <f t="shared" si="1"/>
        <v>1.105</v>
      </c>
      <c r="O22" s="6" t="s">
        <v>13</v>
      </c>
      <c r="P22" s="26" t="s">
        <v>90</v>
      </c>
      <c r="Q22" s="26" t="s">
        <v>90</v>
      </c>
    </row>
    <row r="23" spans="5:17" ht="30.75" thickBot="1" x14ac:dyDescent="0.3">
      <c r="E23" s="8">
        <v>11</v>
      </c>
      <c r="F23" s="1">
        <v>5835844</v>
      </c>
      <c r="G23" s="13">
        <v>4</v>
      </c>
      <c r="H23" s="13" t="s">
        <v>25</v>
      </c>
      <c r="I23" s="19" t="s">
        <v>67</v>
      </c>
      <c r="J23" s="5">
        <v>52.98</v>
      </c>
      <c r="K23" s="6" t="s">
        <v>13</v>
      </c>
      <c r="L23" s="5">
        <v>41</v>
      </c>
      <c r="M23" s="6" t="s">
        <v>13</v>
      </c>
      <c r="N23" s="5">
        <v>70.27</v>
      </c>
      <c r="O23" s="6" t="s">
        <v>13</v>
      </c>
      <c r="P23" s="26" t="s">
        <v>90</v>
      </c>
      <c r="Q23" s="26" t="s">
        <v>90</v>
      </c>
    </row>
    <row r="24" spans="5:17" ht="15.75" thickBot="1" x14ac:dyDescent="0.3">
      <c r="E24" s="8">
        <v>12</v>
      </c>
      <c r="F24" s="1">
        <v>5174546</v>
      </c>
      <c r="G24" s="13">
        <v>5</v>
      </c>
      <c r="H24" s="13" t="s">
        <v>25</v>
      </c>
      <c r="I24" s="19" t="s">
        <v>38</v>
      </c>
      <c r="J24" s="5">
        <v>29.95</v>
      </c>
      <c r="K24" s="6" t="s">
        <v>13</v>
      </c>
      <c r="L24" s="5">
        <v>29.9</v>
      </c>
      <c r="M24" s="6" t="s">
        <v>13</v>
      </c>
      <c r="N24" s="5">
        <v>41</v>
      </c>
      <c r="O24" s="6" t="s">
        <v>13</v>
      </c>
      <c r="P24" s="26" t="s">
        <v>90</v>
      </c>
      <c r="Q24" s="26" t="s">
        <v>90</v>
      </c>
    </row>
    <row r="25" spans="5:17" ht="15.75" thickBot="1" x14ac:dyDescent="0.3">
      <c r="E25" s="8">
        <v>13</v>
      </c>
      <c r="F25" s="1">
        <v>5889537</v>
      </c>
      <c r="G25" s="13">
        <v>4</v>
      </c>
      <c r="H25" s="13" t="s">
        <v>25</v>
      </c>
      <c r="I25" s="19" t="s">
        <v>66</v>
      </c>
      <c r="J25" s="5">
        <v>33.799999999999997</v>
      </c>
      <c r="K25" s="6" t="s">
        <v>13</v>
      </c>
      <c r="L25" s="5">
        <v>54.99</v>
      </c>
      <c r="M25" s="6" t="s">
        <v>13</v>
      </c>
      <c r="N25" s="5">
        <v>37.86</v>
      </c>
      <c r="O25" s="6" t="s">
        <v>13</v>
      </c>
      <c r="P25" s="26" t="s">
        <v>90</v>
      </c>
      <c r="Q25" s="26" t="s">
        <v>90</v>
      </c>
    </row>
    <row r="26" spans="5:17" ht="30.75" thickBot="1" x14ac:dyDescent="0.3">
      <c r="E26" s="8">
        <v>14</v>
      </c>
      <c r="F26" s="1">
        <v>5084598</v>
      </c>
      <c r="G26" s="13">
        <v>1</v>
      </c>
      <c r="H26" s="13" t="s">
        <v>25</v>
      </c>
      <c r="I26" s="19" t="s">
        <v>40</v>
      </c>
      <c r="J26" s="5">
        <v>51</v>
      </c>
      <c r="K26" s="6" t="s">
        <v>13</v>
      </c>
      <c r="L26" s="5">
        <v>61.5</v>
      </c>
      <c r="M26" s="6" t="s">
        <v>13</v>
      </c>
      <c r="N26" s="5">
        <v>67</v>
      </c>
      <c r="O26" s="6" t="s">
        <v>13</v>
      </c>
      <c r="P26" s="26" t="s">
        <v>90</v>
      </c>
      <c r="Q26" s="26" t="s">
        <v>90</v>
      </c>
    </row>
    <row r="27" spans="5:17" ht="30.75" thickBot="1" x14ac:dyDescent="0.3">
      <c r="E27" s="8">
        <v>15</v>
      </c>
      <c r="F27" s="1">
        <v>5782627</v>
      </c>
      <c r="G27" s="13">
        <v>40</v>
      </c>
      <c r="H27" s="13" t="s">
        <v>25</v>
      </c>
      <c r="I27" s="19" t="s">
        <v>41</v>
      </c>
      <c r="J27" s="5">
        <v>2.5</v>
      </c>
      <c r="K27" s="6" t="s">
        <v>13</v>
      </c>
      <c r="L27" s="5">
        <v>0.68</v>
      </c>
      <c r="M27" s="6" t="s">
        <v>13</v>
      </c>
      <c r="N27" s="5">
        <f>59.99/50</f>
        <v>1.1998</v>
      </c>
      <c r="O27" s="6" t="s">
        <v>13</v>
      </c>
      <c r="P27" s="26" t="s">
        <v>90</v>
      </c>
      <c r="Q27" s="26" t="s">
        <v>90</v>
      </c>
    </row>
    <row r="28" spans="5:17" ht="30.75" thickBot="1" x14ac:dyDescent="0.3">
      <c r="E28" s="8">
        <v>16</v>
      </c>
      <c r="F28" s="1">
        <v>2495910</v>
      </c>
      <c r="G28" s="13">
        <v>1</v>
      </c>
      <c r="H28" s="13" t="s">
        <v>25</v>
      </c>
      <c r="I28" s="19" t="s">
        <v>68</v>
      </c>
      <c r="J28" s="5">
        <f>72.99/3</f>
        <v>24.33</v>
      </c>
      <c r="K28" s="6" t="s">
        <v>13</v>
      </c>
      <c r="L28" s="5">
        <v>20.88</v>
      </c>
      <c r="M28" s="6" t="s">
        <v>13</v>
      </c>
      <c r="N28" s="5">
        <v>20</v>
      </c>
      <c r="O28" s="6" t="s">
        <v>13</v>
      </c>
      <c r="P28" s="26" t="s">
        <v>90</v>
      </c>
      <c r="Q28" s="26" t="s">
        <v>90</v>
      </c>
    </row>
    <row r="29" spans="5:17" ht="30.75" thickBot="1" x14ac:dyDescent="0.3">
      <c r="E29" s="8">
        <v>17</v>
      </c>
      <c r="F29" s="1">
        <v>6017673</v>
      </c>
      <c r="G29" s="13">
        <v>8</v>
      </c>
      <c r="H29" s="13" t="s">
        <v>25</v>
      </c>
      <c r="I29" s="19" t="s">
        <v>82</v>
      </c>
      <c r="J29" s="5">
        <v>25</v>
      </c>
      <c r="K29" s="6" t="s">
        <v>13</v>
      </c>
      <c r="L29" s="5">
        <v>18.239999999999998</v>
      </c>
      <c r="M29" s="6" t="s">
        <v>13</v>
      </c>
      <c r="N29" s="5">
        <f>49.5/2</f>
        <v>24.75</v>
      </c>
      <c r="O29" s="6" t="s">
        <v>13</v>
      </c>
      <c r="P29" s="26" t="s">
        <v>90</v>
      </c>
      <c r="Q29" s="26" t="s">
        <v>90</v>
      </c>
    </row>
    <row r="30" spans="5:17" ht="15.75" thickBot="1" x14ac:dyDescent="0.3">
      <c r="E30" s="8">
        <v>18</v>
      </c>
      <c r="F30" s="1">
        <v>4897250</v>
      </c>
      <c r="G30" s="13">
        <v>3</v>
      </c>
      <c r="H30" s="13" t="s">
        <v>25</v>
      </c>
      <c r="I30" s="19" t="s">
        <v>44</v>
      </c>
      <c r="J30" s="5">
        <v>51.94</v>
      </c>
      <c r="K30" s="6" t="s">
        <v>13</v>
      </c>
      <c r="L30" s="5">
        <v>40.24</v>
      </c>
      <c r="M30" s="6" t="s">
        <v>13</v>
      </c>
      <c r="N30" s="5">
        <v>28.59</v>
      </c>
      <c r="O30" s="6" t="s">
        <v>13</v>
      </c>
      <c r="P30" s="26" t="s">
        <v>90</v>
      </c>
      <c r="Q30" s="26" t="s">
        <v>90</v>
      </c>
    </row>
    <row r="31" spans="5:17" ht="30.75" thickBot="1" x14ac:dyDescent="0.3">
      <c r="E31" s="8">
        <v>19</v>
      </c>
      <c r="F31" s="1">
        <v>6260985</v>
      </c>
      <c r="G31" s="13">
        <v>2</v>
      </c>
      <c r="H31" s="13" t="s">
        <v>25</v>
      </c>
      <c r="I31" s="19" t="s">
        <v>69</v>
      </c>
      <c r="J31" s="5">
        <v>21.99</v>
      </c>
      <c r="K31" s="6" t="s">
        <v>13</v>
      </c>
      <c r="L31" s="5">
        <v>29.9</v>
      </c>
      <c r="M31" s="6" t="s">
        <v>13</v>
      </c>
      <c r="N31" s="5">
        <v>27.06</v>
      </c>
      <c r="O31" s="6" t="s">
        <v>13</v>
      </c>
      <c r="P31" s="26" t="s">
        <v>90</v>
      </c>
      <c r="Q31" s="26" t="s">
        <v>90</v>
      </c>
    </row>
    <row r="32" spans="5:17" ht="30.75" thickBot="1" x14ac:dyDescent="0.3">
      <c r="E32" s="8">
        <v>20</v>
      </c>
      <c r="F32" s="1">
        <v>4895100</v>
      </c>
      <c r="G32" s="13">
        <v>4</v>
      </c>
      <c r="H32" s="13" t="s">
        <v>25</v>
      </c>
      <c r="I32" s="19" t="s">
        <v>46</v>
      </c>
      <c r="J32" s="5">
        <v>28.48</v>
      </c>
      <c r="K32" s="6" t="s">
        <v>13</v>
      </c>
      <c r="L32" s="5">
        <v>30.98</v>
      </c>
      <c r="M32" s="6" t="s">
        <v>13</v>
      </c>
      <c r="N32" s="5">
        <v>61.64</v>
      </c>
      <c r="O32" s="6" t="s">
        <v>13</v>
      </c>
      <c r="P32" s="26" t="s">
        <v>90</v>
      </c>
      <c r="Q32" s="26" t="s">
        <v>90</v>
      </c>
    </row>
    <row r="33" spans="5:17" ht="15.75" thickBot="1" x14ac:dyDescent="0.3">
      <c r="E33" s="8">
        <v>21</v>
      </c>
      <c r="F33" s="1">
        <v>6145736</v>
      </c>
      <c r="G33" s="13">
        <v>1</v>
      </c>
      <c r="H33" s="13" t="s">
        <v>25</v>
      </c>
      <c r="I33" s="19" t="s">
        <v>83</v>
      </c>
      <c r="J33" s="5">
        <f>4*2.8</f>
        <v>11.2</v>
      </c>
      <c r="K33" s="6" t="s">
        <v>13</v>
      </c>
      <c r="L33" s="5">
        <v>13.9</v>
      </c>
      <c r="M33" s="6" t="s">
        <v>13</v>
      </c>
      <c r="N33" s="5">
        <v>14.9</v>
      </c>
      <c r="O33" s="6" t="s">
        <v>13</v>
      </c>
      <c r="P33" s="26" t="s">
        <v>90</v>
      </c>
      <c r="Q33" s="26" t="s">
        <v>90</v>
      </c>
    </row>
    <row r="34" spans="5:17" ht="15.75" thickBot="1" x14ac:dyDescent="0.3">
      <c r="E34" s="8">
        <v>22</v>
      </c>
      <c r="F34" s="1">
        <v>6264336</v>
      </c>
      <c r="G34" s="13">
        <v>1</v>
      </c>
      <c r="H34" s="13" t="s">
        <v>25</v>
      </c>
      <c r="I34" s="19" t="s">
        <v>84</v>
      </c>
      <c r="J34" s="5">
        <v>18.989999999999998</v>
      </c>
      <c r="K34" s="6" t="s">
        <v>13</v>
      </c>
      <c r="L34" s="5">
        <v>13.9</v>
      </c>
      <c r="M34" s="6" t="s">
        <v>13</v>
      </c>
      <c r="N34" s="5">
        <v>13.9</v>
      </c>
      <c r="O34" s="6" t="s">
        <v>13</v>
      </c>
      <c r="P34" s="26" t="s">
        <v>90</v>
      </c>
      <c r="Q34" s="26" t="s">
        <v>90</v>
      </c>
    </row>
    <row r="35" spans="5:17" ht="15.75" thickBot="1" x14ac:dyDescent="0.3">
      <c r="E35" s="8">
        <v>23</v>
      </c>
      <c r="F35" s="1">
        <v>5023513</v>
      </c>
      <c r="G35" s="13">
        <v>1</v>
      </c>
      <c r="H35" s="13" t="s">
        <v>25</v>
      </c>
      <c r="I35" s="19" t="s">
        <v>85</v>
      </c>
      <c r="J35" s="5">
        <v>11.9</v>
      </c>
      <c r="K35" s="6" t="s">
        <v>13</v>
      </c>
      <c r="L35" s="5">
        <v>19.010000000000002</v>
      </c>
      <c r="M35" s="6" t="s">
        <v>13</v>
      </c>
      <c r="N35" s="5">
        <v>13.9</v>
      </c>
      <c r="O35" s="6" t="s">
        <v>13</v>
      </c>
      <c r="P35" s="26" t="s">
        <v>90</v>
      </c>
      <c r="Q35" s="26" t="s">
        <v>90</v>
      </c>
    </row>
    <row r="36" spans="5:17" ht="45.75" thickBot="1" x14ac:dyDescent="0.3">
      <c r="E36" s="8">
        <v>24</v>
      </c>
      <c r="F36" s="1">
        <v>5785375</v>
      </c>
      <c r="G36" s="13">
        <v>1</v>
      </c>
      <c r="H36" s="13" t="s">
        <v>25</v>
      </c>
      <c r="I36" s="19" t="s">
        <v>50</v>
      </c>
      <c r="J36" s="5">
        <v>349.9</v>
      </c>
      <c r="K36" s="6" t="s">
        <v>13</v>
      </c>
      <c r="L36" s="18"/>
      <c r="M36" s="6" t="s">
        <v>13</v>
      </c>
      <c r="N36" s="18"/>
      <c r="O36" s="6" t="s">
        <v>13</v>
      </c>
      <c r="P36" s="26" t="s">
        <v>90</v>
      </c>
      <c r="Q36" s="26" t="s">
        <v>90</v>
      </c>
    </row>
    <row r="37" spans="5:17" ht="45.75" thickBot="1" x14ac:dyDescent="0.3">
      <c r="E37" s="8">
        <v>25</v>
      </c>
      <c r="F37" s="1">
        <v>5841550</v>
      </c>
      <c r="G37" s="13">
        <v>2</v>
      </c>
      <c r="H37" s="13" t="s">
        <v>25</v>
      </c>
      <c r="I37" s="19" t="s">
        <v>51</v>
      </c>
      <c r="J37" s="5">
        <v>109.9</v>
      </c>
      <c r="K37" s="6" t="s">
        <v>13</v>
      </c>
      <c r="L37" s="5">
        <v>114.9</v>
      </c>
      <c r="M37" s="6" t="s">
        <v>13</v>
      </c>
      <c r="N37" s="5">
        <v>99.9</v>
      </c>
      <c r="O37" s="6" t="s">
        <v>13</v>
      </c>
      <c r="P37" s="26" t="s">
        <v>90</v>
      </c>
      <c r="Q37" s="26" t="s">
        <v>90</v>
      </c>
    </row>
    <row r="38" spans="5:17" ht="30.75" thickBot="1" x14ac:dyDescent="0.3">
      <c r="E38" s="8">
        <v>26</v>
      </c>
      <c r="F38" s="1">
        <v>6195822</v>
      </c>
      <c r="G38" s="13">
        <v>2</v>
      </c>
      <c r="H38" s="13" t="s">
        <v>25</v>
      </c>
      <c r="I38" s="19" t="s">
        <v>52</v>
      </c>
      <c r="J38" s="5">
        <v>213.85</v>
      </c>
      <c r="K38" s="6" t="s">
        <v>13</v>
      </c>
      <c r="L38" s="5">
        <v>115.9</v>
      </c>
      <c r="M38" s="6" t="s">
        <v>13</v>
      </c>
      <c r="N38" s="5">
        <v>169</v>
      </c>
      <c r="O38" s="6" t="s">
        <v>13</v>
      </c>
      <c r="P38" s="26" t="s">
        <v>90</v>
      </c>
      <c r="Q38" s="26" t="s">
        <v>90</v>
      </c>
    </row>
    <row r="39" spans="5:17" ht="31.5" thickBot="1" x14ac:dyDescent="0.3">
      <c r="E39" s="8">
        <v>27</v>
      </c>
      <c r="F39" s="1">
        <v>5488605</v>
      </c>
      <c r="G39" s="13">
        <v>4</v>
      </c>
      <c r="H39" s="13" t="s">
        <v>25</v>
      </c>
      <c r="I39" s="19" t="s">
        <v>53</v>
      </c>
      <c r="J39" s="5">
        <v>849.9</v>
      </c>
      <c r="K39" s="6" t="s">
        <v>13</v>
      </c>
      <c r="L39" s="18"/>
      <c r="M39" s="6" t="s">
        <v>13</v>
      </c>
      <c r="N39" s="18"/>
      <c r="O39" s="6" t="s">
        <v>13</v>
      </c>
      <c r="P39" s="26" t="s">
        <v>90</v>
      </c>
      <c r="Q39" s="26" t="s">
        <v>90</v>
      </c>
    </row>
    <row r="40" spans="5:17" ht="15.75" thickBot="1" x14ac:dyDescent="0.3">
      <c r="E40" s="8">
        <v>28</v>
      </c>
      <c r="F40" s="1">
        <v>6300251</v>
      </c>
      <c r="G40" s="13">
        <v>4</v>
      </c>
      <c r="H40" s="13" t="s">
        <v>25</v>
      </c>
      <c r="I40" s="20" t="s">
        <v>54</v>
      </c>
      <c r="J40" s="5">
        <v>14</v>
      </c>
      <c r="K40" s="6" t="s">
        <v>13</v>
      </c>
      <c r="L40" s="5">
        <v>3.85</v>
      </c>
      <c r="M40" s="6" t="s">
        <v>13</v>
      </c>
      <c r="N40" s="5">
        <f>19.8/5</f>
        <v>3.96</v>
      </c>
      <c r="O40" s="6" t="s">
        <v>13</v>
      </c>
      <c r="P40" s="26" t="s">
        <v>90</v>
      </c>
      <c r="Q40" s="26" t="s">
        <v>90</v>
      </c>
    </row>
    <row r="41" spans="5:17" ht="15.75" thickBot="1" x14ac:dyDescent="0.3">
      <c r="E41" s="8">
        <v>29</v>
      </c>
      <c r="F41" s="1">
        <v>5409292</v>
      </c>
      <c r="G41" s="13">
        <v>2</v>
      </c>
      <c r="H41" s="13" t="s">
        <v>25</v>
      </c>
      <c r="I41" s="20" t="s">
        <v>70</v>
      </c>
      <c r="J41" s="5">
        <f>23.74/10</f>
        <v>2.3739999999999997</v>
      </c>
      <c r="K41" s="6" t="s">
        <v>13</v>
      </c>
      <c r="L41" s="5">
        <v>3</v>
      </c>
      <c r="M41" s="6" t="s">
        <v>13</v>
      </c>
      <c r="N41" s="5">
        <f>42.96/10</f>
        <v>4.2960000000000003</v>
      </c>
      <c r="O41" s="6" t="s">
        <v>13</v>
      </c>
      <c r="P41" s="26" t="s">
        <v>90</v>
      </c>
      <c r="Q41" s="26" t="s">
        <v>90</v>
      </c>
    </row>
    <row r="42" spans="5:17" ht="30.75" thickBot="1" x14ac:dyDescent="0.3">
      <c r="E42" s="8">
        <v>30</v>
      </c>
      <c r="F42" s="1">
        <v>5308909</v>
      </c>
      <c r="G42" s="13">
        <v>3</v>
      </c>
      <c r="H42" s="13" t="s">
        <v>25</v>
      </c>
      <c r="I42" s="20" t="s">
        <v>71</v>
      </c>
      <c r="J42" s="5">
        <v>11.98</v>
      </c>
      <c r="K42" s="6" t="s">
        <v>13</v>
      </c>
      <c r="L42" s="5">
        <v>13.4</v>
      </c>
      <c r="M42" s="6" t="s">
        <v>13</v>
      </c>
      <c r="N42" s="5">
        <v>13.11</v>
      </c>
      <c r="O42" s="6" t="s">
        <v>13</v>
      </c>
      <c r="P42" s="26" t="s">
        <v>90</v>
      </c>
      <c r="Q42" s="26" t="s">
        <v>90</v>
      </c>
    </row>
    <row r="43" spans="5:17" ht="15.75" thickBot="1" x14ac:dyDescent="0.3">
      <c r="E43" s="8">
        <v>31</v>
      </c>
      <c r="F43" s="1">
        <v>5985382</v>
      </c>
      <c r="G43" s="13">
        <v>10</v>
      </c>
      <c r="H43" s="13" t="s">
        <v>25</v>
      </c>
      <c r="I43" s="20" t="s">
        <v>72</v>
      </c>
      <c r="J43" s="5">
        <v>0.08</v>
      </c>
      <c r="K43" s="6" t="s">
        <v>13</v>
      </c>
      <c r="L43" s="5">
        <v>0.09</v>
      </c>
      <c r="M43" s="6" t="s">
        <v>13</v>
      </c>
      <c r="N43" s="5">
        <v>0.09</v>
      </c>
      <c r="O43" s="6" t="s">
        <v>13</v>
      </c>
      <c r="P43" s="26" t="s">
        <v>90</v>
      </c>
      <c r="Q43" s="26" t="s">
        <v>90</v>
      </c>
    </row>
    <row r="44" spans="5:17" ht="15.75" thickBot="1" x14ac:dyDescent="0.3">
      <c r="E44" s="8">
        <v>32</v>
      </c>
      <c r="F44" s="1">
        <v>4787048</v>
      </c>
      <c r="G44" s="13">
        <v>4</v>
      </c>
      <c r="H44" s="13" t="s">
        <v>25</v>
      </c>
      <c r="I44" s="20" t="s">
        <v>73</v>
      </c>
      <c r="J44" s="5">
        <v>0.09</v>
      </c>
      <c r="K44" s="6" t="s">
        <v>13</v>
      </c>
      <c r="L44" s="5">
        <v>0.08</v>
      </c>
      <c r="M44" s="6" t="s">
        <v>13</v>
      </c>
      <c r="N44" s="5">
        <v>0.08</v>
      </c>
      <c r="O44" s="6" t="s">
        <v>13</v>
      </c>
      <c r="P44" s="26" t="s">
        <v>90</v>
      </c>
      <c r="Q44" s="26" t="s">
        <v>90</v>
      </c>
    </row>
    <row r="45" spans="5:17" ht="60.75" thickBot="1" x14ac:dyDescent="0.3">
      <c r="E45" s="8">
        <v>33</v>
      </c>
      <c r="F45" s="1">
        <v>5350905</v>
      </c>
      <c r="G45" s="13">
        <v>1</v>
      </c>
      <c r="H45" s="13" t="s">
        <v>25</v>
      </c>
      <c r="I45" s="20" t="s">
        <v>59</v>
      </c>
      <c r="J45" s="5">
        <v>933.77</v>
      </c>
      <c r="K45" s="6" t="s">
        <v>13</v>
      </c>
      <c r="L45" s="18"/>
      <c r="M45" s="6" t="s">
        <v>13</v>
      </c>
      <c r="N45" s="18"/>
      <c r="O45" s="6" t="s">
        <v>13</v>
      </c>
      <c r="P45" s="26" t="s">
        <v>90</v>
      </c>
      <c r="Q45" s="26" t="s">
        <v>90</v>
      </c>
    </row>
    <row r="46" spans="5:17" ht="30.75" thickBot="1" x14ac:dyDescent="0.3">
      <c r="E46" s="8">
        <v>34</v>
      </c>
      <c r="F46" s="4">
        <v>5489032</v>
      </c>
      <c r="G46" s="13">
        <v>2</v>
      </c>
      <c r="H46" s="13" t="s">
        <v>25</v>
      </c>
      <c r="I46" s="20" t="s">
        <v>86</v>
      </c>
      <c r="J46" s="5">
        <v>23.99</v>
      </c>
      <c r="K46" s="6" t="s">
        <v>13</v>
      </c>
      <c r="L46" s="5">
        <v>17.899999999999999</v>
      </c>
      <c r="M46" s="6" t="s">
        <v>13</v>
      </c>
      <c r="N46" s="5">
        <v>19</v>
      </c>
      <c r="O46" s="6" t="s">
        <v>13</v>
      </c>
      <c r="P46" s="26" t="s">
        <v>90</v>
      </c>
      <c r="Q46" s="26" t="s">
        <v>90</v>
      </c>
    </row>
    <row r="47" spans="5:17" ht="120.75" thickBot="1" x14ac:dyDescent="0.3">
      <c r="E47" s="8">
        <v>35</v>
      </c>
      <c r="F47" s="4">
        <v>5667917</v>
      </c>
      <c r="G47" s="13">
        <v>3</v>
      </c>
      <c r="H47" s="13" t="s">
        <v>25</v>
      </c>
      <c r="I47" s="20" t="s">
        <v>87</v>
      </c>
      <c r="J47" s="5">
        <v>104.62</v>
      </c>
      <c r="K47" s="6" t="s">
        <v>13</v>
      </c>
      <c r="L47" s="5">
        <v>68.260000000000005</v>
      </c>
      <c r="M47" s="6" t="s">
        <v>13</v>
      </c>
      <c r="N47" s="5">
        <v>80</v>
      </c>
      <c r="O47" s="6" t="s">
        <v>13</v>
      </c>
      <c r="P47" s="26" t="s">
        <v>90</v>
      </c>
      <c r="Q47" s="26" t="s">
        <v>90</v>
      </c>
    </row>
    <row r="48" spans="5:17" ht="105.75" thickBot="1" x14ac:dyDescent="0.3">
      <c r="E48" s="8">
        <v>36</v>
      </c>
      <c r="F48" s="4"/>
      <c r="G48" s="13">
        <v>1</v>
      </c>
      <c r="H48" s="13" t="s">
        <v>25</v>
      </c>
      <c r="I48" s="20" t="s">
        <v>74</v>
      </c>
      <c r="J48" s="5">
        <f>2024.69+521</f>
        <v>2545.69</v>
      </c>
      <c r="K48" s="21" t="s">
        <v>75</v>
      </c>
      <c r="L48" s="5">
        <f>1740+521</f>
        <v>2261</v>
      </c>
      <c r="M48" s="21" t="s">
        <v>75</v>
      </c>
      <c r="N48" s="5">
        <f>1690+521</f>
        <v>2211</v>
      </c>
      <c r="O48" s="21" t="s">
        <v>75</v>
      </c>
      <c r="P48" s="26" t="s">
        <v>90</v>
      </c>
      <c r="Q48" s="26" t="s">
        <v>90</v>
      </c>
    </row>
    <row r="49" spans="5:17" ht="15.75" thickBot="1" x14ac:dyDescent="0.3">
      <c r="E49" s="30" t="s">
        <v>23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2"/>
      <c r="Q49" s="26" t="s">
        <v>90</v>
      </c>
    </row>
  </sheetData>
  <mergeCells count="4">
    <mergeCell ref="E3:Q3"/>
    <mergeCell ref="E9:P9"/>
    <mergeCell ref="E11:Q11"/>
    <mergeCell ref="E49:P49"/>
  </mergeCells>
  <hyperlinks>
    <hyperlink ref="K5" r:id="rId1" xr:uid="{8CA08C76-7DF8-4554-B931-AE3807F62E4D}"/>
    <hyperlink ref="K6:K9" r:id="rId2" display="link" xr:uid="{C46C7EC5-131E-4A18-A8DD-2CEF4E98EBA0}"/>
    <hyperlink ref="M5" r:id="rId3" xr:uid="{C790ECE4-3C04-43CA-B88B-09960DB34FEE}"/>
    <hyperlink ref="M6:M9" r:id="rId4" display="link" xr:uid="{BC6A96A3-0883-4753-8E19-C5CD01F23A76}"/>
    <hyperlink ref="O5" r:id="rId5" xr:uid="{53ACD4FE-4554-42EE-9508-5D6F0885319D}"/>
    <hyperlink ref="O6:O9" r:id="rId6" display="link" xr:uid="{26575451-8908-4277-9210-C6A2B1880235}"/>
    <hyperlink ref="K6" r:id="rId7" xr:uid="{65A5F915-29E7-4361-B3B0-2C8E391769CB}"/>
    <hyperlink ref="K7" r:id="rId8" xr:uid="{758FCBDB-E1EB-4BC1-961C-DAFA31E7773F}"/>
    <hyperlink ref="K8" r:id="rId9" xr:uid="{6BCACF92-B490-48B5-8A33-F697E8709F0A}"/>
    <hyperlink ref="M8" r:id="rId10" xr:uid="{C009C3EC-31ED-42B5-B030-03C9E3B25A3B}"/>
    <hyperlink ref="O8" r:id="rId11" xr:uid="{6874B62E-863B-49D7-ADDB-D14AFBBF5B44}"/>
    <hyperlink ref="M7" r:id="rId12" xr:uid="{1DE0DE53-A385-49C4-82D8-F84924AB5339}"/>
    <hyperlink ref="O7" r:id="rId13" xr:uid="{C852DB46-5691-479B-A74B-B3AC7D9B54F7}"/>
    <hyperlink ref="M6" r:id="rId14" xr:uid="{135599FE-0F64-48E0-8EFF-B9C9BBFB3F35}"/>
    <hyperlink ref="O6" r:id="rId15" xr:uid="{E2F5FF09-2661-463E-94BA-4E7DCACCC3D0}"/>
    <hyperlink ref="K42" r:id="rId16" xr:uid="{73C53ACD-35E1-48AD-B09A-EEFB36E0F0B4}"/>
    <hyperlink ref="M42" r:id="rId17" xr:uid="{3EDE8624-6358-4C21-A70B-E442C00984C9}"/>
    <hyperlink ref="O42" r:id="rId18" xr:uid="{B69F8F30-715F-42A8-B358-4B8720D8BE8A}"/>
    <hyperlink ref="K43" r:id="rId19" xr:uid="{AD06B598-3813-43EB-9ADD-3637C250EEE8}"/>
    <hyperlink ref="K44" r:id="rId20" xr:uid="{8CE40FBD-35BD-40D3-B489-9CE43D3DFF86}"/>
    <hyperlink ref="M44" r:id="rId21" xr:uid="{38B0DAEF-085E-4042-85E9-A6858341798E}"/>
    <hyperlink ref="O44" r:id="rId22" xr:uid="{747E1E76-9E06-4DBF-B336-CAD679B82ACA}"/>
    <hyperlink ref="M43" r:id="rId23" xr:uid="{2FF72C3D-3C15-4180-B28E-6D2D4FF6AC62}"/>
    <hyperlink ref="O43" r:id="rId24" xr:uid="{CC321DF8-FC51-4B3B-8647-F818E148D1C4}"/>
    <hyperlink ref="K30:K41" r:id="rId25" display="link" xr:uid="{45469196-B408-4D92-B1D5-20C2CA032136}"/>
    <hyperlink ref="M30:M41" r:id="rId26" display="link" xr:uid="{5BFE6BD2-2676-4935-BD54-216F82705A4C}"/>
    <hyperlink ref="O30:O41" r:id="rId27" display="link" xr:uid="{CE65C6EA-811B-48BB-AE09-57A804713FD2}"/>
    <hyperlink ref="K26" r:id="rId28" xr:uid="{1D27B98E-42B7-451C-BB5E-153D5C31FB4F}"/>
    <hyperlink ref="K27:K29" r:id="rId29" display="link" xr:uid="{5E87A057-55CA-4812-968A-A230166C7B46}"/>
    <hyperlink ref="M26" r:id="rId30" xr:uid="{8209C95C-539A-439B-9844-91AD32189374}"/>
    <hyperlink ref="M27:M29" r:id="rId31" display="link" xr:uid="{05092F95-D4C0-4F1C-852F-8E3008E171C6}"/>
    <hyperlink ref="O26" r:id="rId32" xr:uid="{2CB0E1A1-E38C-4644-AB97-2BE4B7D7BE91}"/>
    <hyperlink ref="O27:O29" r:id="rId33" display="link" xr:uid="{FA531453-1081-4655-AF55-7ED69C244597}"/>
    <hyperlink ref="K27" r:id="rId34" xr:uid="{4CB408DD-5EA1-4CAC-B14E-405A4EC26C6C}"/>
    <hyperlink ref="K28" r:id="rId35" location="is_advertising=true&amp;searchVariation=MLBU2939827735&amp;backend_model=search-backend&amp;position=3&amp;search_layout=grid&amp;type=pad&amp;tracking_id=d55b636d-eb77-4774-aa8a-ab1f4358227f&amp;ad_domain=VQCATCORE_LST&amp;ad_position=3&amp;ad_click_id=MTRlMmFmMDItMGNjNC00NDIzLTkwYWUtMjE5Nzc2YWE4NDY1" xr:uid="{237B9553-B86F-4CE4-8029-C1DBE284FA03}"/>
    <hyperlink ref="K29" r:id="rId36" xr:uid="{402A83B7-3A9C-4C2A-8B37-41E95EFCD841}"/>
    <hyperlink ref="M29" r:id="rId37" location="derivacao=8" xr:uid="{368CFD63-9FC7-401A-8CBE-FEFBF8CEE896}"/>
    <hyperlink ref="O29" r:id="rId38" xr:uid="{B31D9CBE-817D-4CAE-81F3-851A83A45B6E}"/>
    <hyperlink ref="M28" r:id="rId39" xr:uid="{57764ACB-CF93-4305-8876-780871E6D8A7}"/>
    <hyperlink ref="O28" r:id="rId40" xr:uid="{62AD07DC-08AE-4C1B-8968-13506E6C50D4}"/>
    <hyperlink ref="M27" r:id="rId41" xr:uid="{22907AA6-8EC1-470A-8C94-C7443BABF13F}"/>
    <hyperlink ref="O27" r:id="rId42" location="polycard_client=search-nordic&amp;search_layout=stack&amp;position=3&amp;type=product&amp;tracking_id=2622fad7-ccf2-436b-b59e-0c94867e764c&amp;wid=MLB1412581889&amp;sid=search" xr:uid="{6C941AC9-7BDF-4A09-BA41-C3EC8FFB22CA}"/>
    <hyperlink ref="K45:K46" r:id="rId43" display="link" xr:uid="{F254EA95-2B14-4BCB-B657-5954186C0DFB}"/>
    <hyperlink ref="M45:M46" r:id="rId44" display="link" xr:uid="{A5D92170-2753-42CF-AD6C-5FBF500A25BE}"/>
    <hyperlink ref="O45:O46" r:id="rId45" display="link" xr:uid="{12B12B7F-A670-45E4-AB69-F83BAF0B487A}"/>
    <hyperlink ref="M13" r:id="rId46" xr:uid="{9AB807FB-5FB7-4D53-AFDA-0E62991AD987}"/>
    <hyperlink ref="O13" r:id="rId47" xr:uid="{C3B90B0E-78F2-4DBE-B5A7-8D3AE5B0728C}"/>
    <hyperlink ref="K14" r:id="rId48" xr:uid="{4BF49468-BA81-462E-954C-B77B7EECD4B5}"/>
    <hyperlink ref="M14" r:id="rId49" xr:uid="{B942A56C-2530-4BB1-868E-D6E27201E58A}"/>
    <hyperlink ref="O14" r:id="rId50" xr:uid="{84339F0F-3E14-4604-B034-0716A466723A}"/>
    <hyperlink ref="K15" r:id="rId51" xr:uid="{5F75F2C1-A397-4542-9F82-521B2A9E1CF0}"/>
    <hyperlink ref="M15" r:id="rId52" xr:uid="{9E67023C-8EAC-477E-801E-05742C69109F}"/>
    <hyperlink ref="O15" r:id="rId53" xr:uid="{FF641FDA-FB4E-4CA6-B556-65E214311533}"/>
    <hyperlink ref="K16" r:id="rId54" xr:uid="{5F428C4A-8AA0-405C-918F-DCE6249E6105}"/>
    <hyperlink ref="M16" r:id="rId55" xr:uid="{9F830279-077F-493A-8354-E48A5170468C}"/>
    <hyperlink ref="O16" r:id="rId56" xr:uid="{0A8FCE3E-BF77-407C-B858-FB19D5926C58}"/>
    <hyperlink ref="K17" r:id="rId57" xr:uid="{5BC97D88-8296-48A3-85A9-1ABFD6B4D02F}"/>
    <hyperlink ref="K18:K22" r:id="rId58" display="link" xr:uid="{C7C84AA2-7141-454E-8AC9-B34E33718BA3}"/>
    <hyperlink ref="M17" r:id="rId59" xr:uid="{F80C0D78-BB50-436B-A351-EE29C5F4B7C8}"/>
    <hyperlink ref="M18:M22" r:id="rId60" display="link" xr:uid="{00F33D29-1A9A-493D-83B2-797ECE749014}"/>
    <hyperlink ref="O17" r:id="rId61" xr:uid="{F0139584-C55C-4230-AFE6-4BC0E83F531E}"/>
    <hyperlink ref="O18:O22" r:id="rId62" display="link" xr:uid="{8DF9C88C-BF29-4197-B772-A5B659A1C761}"/>
    <hyperlink ref="K23" r:id="rId63" location="polycard_client=search_best-seller&amp;tracking_id=3f465951-442e-438f-a8a1-874f77b77430&amp;wid=MLB5599275528&amp;sid=search" xr:uid="{4F761286-2452-48B5-A4E2-17DFF40621DC}"/>
    <hyperlink ref="M23" r:id="rId64" xr:uid="{E9670A49-6DF9-4A41-9254-72723868EE4E}"/>
    <hyperlink ref="O23" r:id="rId65" xr:uid="{3A62EF7B-29B9-427E-86AE-35ACA5EAEBFC}"/>
    <hyperlink ref="K24" r:id="rId66" xr:uid="{C536BBB2-C7F8-4106-9FB6-E71DFD02EE2E}"/>
    <hyperlink ref="M24" r:id="rId67" xr:uid="{23BA798A-E868-45DD-8AF9-9A097DFBD568}"/>
    <hyperlink ref="O24" r:id="rId68" xr:uid="{546838F0-6B49-44E8-A7EF-1E5E981BC21F}"/>
    <hyperlink ref="K25" r:id="rId69" xr:uid="{F58EEE60-733B-42FC-903E-EFEE109772F1}"/>
    <hyperlink ref="M25" r:id="rId70" xr:uid="{CF5360C9-83C4-421B-B576-9E4CD3CBE5D7}"/>
    <hyperlink ref="O25" r:id="rId71" xr:uid="{B541BA5A-79A9-4DD7-8119-6685D3ED06DB}"/>
    <hyperlink ref="K30" r:id="rId72" xr:uid="{63A63968-9BF9-4B77-9F36-1A7EA7DBEFE0}"/>
    <hyperlink ref="O30" r:id="rId73" xr:uid="{9C99FE65-2091-457B-A5FD-5A5C4653CBAE}"/>
    <hyperlink ref="M30" r:id="rId74" xr:uid="{ECB3F76A-8C45-410A-835B-595821DE012B}"/>
    <hyperlink ref="K31" r:id="rId75" xr:uid="{DFD403A5-F0CE-470F-A5FC-039F4C8D6C2C}"/>
    <hyperlink ref="M31" r:id="rId76" xr:uid="{12C5A567-8087-418D-BEA6-16D7BF4CB66C}"/>
    <hyperlink ref="O31" r:id="rId77" xr:uid="{94BD1B72-24AC-4C06-ACED-A60113E47598}"/>
    <hyperlink ref="K32" r:id="rId78" xr:uid="{DC290C99-0F5C-458E-85E0-D0A1FC8968B1}"/>
    <hyperlink ref="M32" r:id="rId79" xr:uid="{CE3CD427-F004-4F9D-97B0-D673EE6E3277}"/>
    <hyperlink ref="O32" r:id="rId80" xr:uid="{BB73B036-0345-4351-B0FE-3ED851C9E350}"/>
    <hyperlink ref="K33" r:id="rId81" xr:uid="{01540BD0-F2B1-4EDB-8BBF-103FD0044F7D}"/>
    <hyperlink ref="M33" r:id="rId82" xr:uid="{64053A9B-63E6-4A4D-B689-B56CA44AFB38}"/>
    <hyperlink ref="O33" r:id="rId83" xr:uid="{16C7008E-2213-43D6-8674-B15B903FD2EB}"/>
    <hyperlink ref="K34" r:id="rId84" xr:uid="{D41B1986-9F02-4E97-A802-8F5E805A7863}"/>
    <hyperlink ref="M34" r:id="rId85" xr:uid="{CEEBDCF5-DFE7-431C-A2CE-8A8A8199CB47}"/>
    <hyperlink ref="O34" r:id="rId86" xr:uid="{5B437978-AF0D-4DC2-A2D9-32CDCF25BE63}"/>
    <hyperlink ref="K35" r:id="rId87" xr:uid="{1615C31A-3113-4F26-A797-B147CF171AB2}"/>
    <hyperlink ref="M35" r:id="rId88" xr:uid="{9DB977F9-2E4B-41AD-9C7F-6D2CFF309322}"/>
    <hyperlink ref="O35" r:id="rId89" xr:uid="{BE9799E6-02E3-4AA0-BA57-5AE589766766}"/>
    <hyperlink ref="K36" r:id="rId90" xr:uid="{310E9D1D-18A1-4428-877B-47C34CE8F958}"/>
    <hyperlink ref="K37" r:id="rId91" xr:uid="{0E4B0762-054A-4848-AF5E-644FB9D16AF4}"/>
    <hyperlink ref="M37" r:id="rId92" location="polycard_client=search-nordic&amp;search_layout=stack&amp;position=1&amp;type=product&amp;tracking_id=94318a09-b8ed-4b62-8a00-9480a16c7ecc&amp;wid=MLB5416675902&amp;sid=search" xr:uid="{423F796E-9722-4E1A-9859-6FE6752DC108}"/>
    <hyperlink ref="O37" r:id="rId93" xr:uid="{99C60E15-6556-4186-AFB8-9C2A2D9A8175}"/>
    <hyperlink ref="K38" r:id="rId94" xr:uid="{D4A1EE7A-57CF-47B6-B91A-3E6801916D4A}"/>
    <hyperlink ref="M38" r:id="rId95" xr:uid="{1351EA9C-5991-40A4-955C-5419964520FF}"/>
    <hyperlink ref="O38" r:id="rId96" xr:uid="{25B115C6-52A4-4EC5-87B6-B0E6EBCB64B1}"/>
    <hyperlink ref="K39" r:id="rId97" xr:uid="{70B72939-A6E9-470F-AC7A-990B4316EE50}"/>
    <hyperlink ref="K40" r:id="rId98" xr:uid="{D9B6690B-8852-4520-8923-12F7E7CFD12A}"/>
    <hyperlink ref="M40" r:id="rId99" xr:uid="{677D8E55-0604-4472-BEB8-F4D31D226431}"/>
    <hyperlink ref="O40" r:id="rId100" xr:uid="{B85703B4-6361-43C0-BD13-5693C05B74E5}"/>
    <hyperlink ref="K41" r:id="rId101" xr:uid="{C81834D3-B71C-471F-A70F-7F4E7199097A}"/>
    <hyperlink ref="M41" r:id="rId102" xr:uid="{D037485B-5C2D-4283-BFCE-F123100A056A}"/>
    <hyperlink ref="O41" r:id="rId103" xr:uid="{26C4E33C-F9E8-4CA2-9F8B-AF65E18A43D5}"/>
    <hyperlink ref="K47" r:id="rId104" location="derivacao=8" xr:uid="{930341A8-B6DE-4833-8EA8-C78A9EA874AD}"/>
    <hyperlink ref="M47" r:id="rId105" xr:uid="{49A05885-4880-49C1-B32E-3505A6958E9A}"/>
    <hyperlink ref="O47" r:id="rId106" xr:uid="{25E6E338-E9B3-4877-802F-9F5DB2944E2A}"/>
    <hyperlink ref="K45" r:id="rId107" xr:uid="{9E45ADF8-D7FA-4EA5-9516-371E9E7AD9C7}"/>
    <hyperlink ref="K46" r:id="rId108" xr:uid="{1792CA35-5F78-4254-AFD0-A2F5B4B6A817}"/>
    <hyperlink ref="M46" r:id="rId109" xr:uid="{6D618A8D-0FA9-4B5C-B0E7-94AEAC253ACF}"/>
    <hyperlink ref="O46" r:id="rId110" xr:uid="{48BDE8E9-58DB-4863-AD31-E85084CCE6ED}"/>
    <hyperlink ref="K48" r:id="rId111" display="link" xr:uid="{2A9E8EC6-8058-4EF1-BAC2-609FAAFB142C}"/>
    <hyperlink ref="M48" r:id="rId112" display="https://www.mercadolivre.com.br/controlador-logico-clic02-clw02-20vrd-3rd-24vcc-11268449/up/MLBU2886663265?pdp_filters=item_id:MLB5213852204" xr:uid="{0DB85CAF-9FB4-441B-875D-C83D617E4374}"/>
    <hyperlink ref="O48" r:id="rId113" display="https://www.refercomercio.com.br/comandos-eletricos/reles/controlador-logico-programavel-weg-clp-clic02-24vcc-20vr?parceiro=5922&amp;srsltid=AfmBOop0xT7a1KEuh7rNT9ctz37owkZvUrRlnJtkh7P4WL_hSLNhSIa2Pk0" xr:uid="{B0DB281C-EEC5-4BC9-A6B6-76850EE9D416}"/>
  </hyperlinks>
  <pageMargins left="0.7" right="0.7" top="0.75" bottom="0.75" header="0.3" footer="0.3"/>
  <pageSetup paperSize="9" scale="56" fitToHeight="0" orientation="landscape" r:id="rId11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4293-8BC9-4BF9-9823-48BA4C6F91AF}">
  <dimension ref="E5:K40"/>
  <sheetViews>
    <sheetView topLeftCell="A7" workbookViewId="0">
      <selection activeCell="B21" sqref="B21"/>
    </sheetView>
  </sheetViews>
  <sheetFormatPr defaultRowHeight="15" x14ac:dyDescent="0.25"/>
  <cols>
    <col min="5" max="5" width="5.140625" bestFit="1" customWidth="1"/>
    <col min="7" max="7" width="5.42578125" bestFit="1" customWidth="1"/>
    <col min="8" max="8" width="8.28515625" bestFit="1" customWidth="1"/>
    <col min="9" max="9" width="39.85546875" customWidth="1"/>
    <col min="11" max="11" width="10.7109375" bestFit="1" customWidth="1"/>
  </cols>
  <sheetData>
    <row r="5" spans="5:11" ht="15.75" thickBot="1" x14ac:dyDescent="0.3"/>
    <row r="6" spans="5:11" ht="45.75" thickBot="1" x14ac:dyDescent="0.3">
      <c r="E6" s="10" t="s">
        <v>0</v>
      </c>
      <c r="F6" s="11"/>
      <c r="G6" s="11" t="s">
        <v>1</v>
      </c>
      <c r="H6" s="11" t="s">
        <v>2</v>
      </c>
      <c r="I6" s="11" t="s">
        <v>3</v>
      </c>
      <c r="J6" s="11" t="s">
        <v>4</v>
      </c>
      <c r="K6" s="11" t="s">
        <v>5</v>
      </c>
    </row>
    <row r="7" spans="5:11" ht="30.75" thickBot="1" x14ac:dyDescent="0.3">
      <c r="E7" s="12">
        <v>1</v>
      </c>
      <c r="F7" s="13"/>
      <c r="G7" s="13">
        <v>200</v>
      </c>
      <c r="H7" s="13" t="s">
        <v>25</v>
      </c>
      <c r="I7" s="14" t="s">
        <v>26</v>
      </c>
      <c r="J7" s="15">
        <v>8.75</v>
      </c>
      <c r="K7" s="15">
        <v>1750</v>
      </c>
    </row>
    <row r="8" spans="5:11" ht="30.75" thickBot="1" x14ac:dyDescent="0.3">
      <c r="E8" s="12">
        <v>2</v>
      </c>
      <c r="F8" s="13"/>
      <c r="G8" s="13">
        <v>1</v>
      </c>
      <c r="H8" s="13" t="s">
        <v>27</v>
      </c>
      <c r="I8" s="14" t="s">
        <v>28</v>
      </c>
      <c r="J8" s="16">
        <v>6</v>
      </c>
      <c r="K8" s="15">
        <v>6</v>
      </c>
    </row>
    <row r="9" spans="5:11" ht="45.75" thickBot="1" x14ac:dyDescent="0.3">
      <c r="E9" s="12">
        <v>3</v>
      </c>
      <c r="F9" s="13"/>
      <c r="G9" s="13">
        <v>8</v>
      </c>
      <c r="H9" s="13" t="s">
        <v>25</v>
      </c>
      <c r="I9" s="14" t="s">
        <v>29</v>
      </c>
      <c r="J9" s="16">
        <v>14.6</v>
      </c>
      <c r="K9" s="15">
        <v>116.8</v>
      </c>
    </row>
    <row r="10" spans="5:11" ht="15.75" thickBot="1" x14ac:dyDescent="0.3">
      <c r="E10" s="12">
        <v>4</v>
      </c>
      <c r="F10" s="13"/>
      <c r="G10" s="13">
        <v>3</v>
      </c>
      <c r="H10" s="13" t="s">
        <v>30</v>
      </c>
      <c r="I10" s="14" t="s">
        <v>31</v>
      </c>
      <c r="J10" s="16">
        <v>1</v>
      </c>
      <c r="K10" s="15">
        <v>3</v>
      </c>
    </row>
    <row r="11" spans="5:11" ht="15.75" thickBot="1" x14ac:dyDescent="0.3">
      <c r="E11" s="12">
        <v>5</v>
      </c>
      <c r="F11" s="13"/>
      <c r="G11" s="13">
        <v>3</v>
      </c>
      <c r="H11" s="13" t="s">
        <v>30</v>
      </c>
      <c r="I11" s="14" t="s">
        <v>32</v>
      </c>
      <c r="J11" s="16">
        <v>1</v>
      </c>
      <c r="K11" s="15">
        <v>3</v>
      </c>
    </row>
    <row r="12" spans="5:11" ht="15.75" thickBot="1" x14ac:dyDescent="0.3">
      <c r="E12" s="12">
        <v>6</v>
      </c>
      <c r="F12" s="13"/>
      <c r="G12" s="13">
        <v>3</v>
      </c>
      <c r="H12" s="13" t="s">
        <v>30</v>
      </c>
      <c r="I12" s="14" t="s">
        <v>33</v>
      </c>
      <c r="J12" s="16">
        <v>1</v>
      </c>
      <c r="K12" s="15">
        <v>3</v>
      </c>
    </row>
    <row r="13" spans="5:11" ht="15.75" thickBot="1" x14ac:dyDescent="0.3">
      <c r="E13" s="12">
        <v>7</v>
      </c>
      <c r="F13" s="13"/>
      <c r="G13" s="13">
        <v>5</v>
      </c>
      <c r="H13" s="13" t="s">
        <v>30</v>
      </c>
      <c r="I13" s="14" t="s">
        <v>34</v>
      </c>
      <c r="J13" s="16">
        <v>1</v>
      </c>
      <c r="K13" s="15">
        <v>5</v>
      </c>
    </row>
    <row r="14" spans="5:11" ht="15.75" thickBot="1" x14ac:dyDescent="0.3">
      <c r="E14" s="12">
        <v>8</v>
      </c>
      <c r="F14" s="13"/>
      <c r="G14" s="13">
        <v>5</v>
      </c>
      <c r="H14" s="13" t="s">
        <v>30</v>
      </c>
      <c r="I14" s="14" t="s">
        <v>35</v>
      </c>
      <c r="J14" s="16">
        <v>1</v>
      </c>
      <c r="K14" s="15">
        <v>5</v>
      </c>
    </row>
    <row r="15" spans="5:11" ht="15.75" thickBot="1" x14ac:dyDescent="0.3">
      <c r="E15" s="12">
        <v>9</v>
      </c>
      <c r="F15" s="13"/>
      <c r="G15" s="13">
        <v>5</v>
      </c>
      <c r="H15" s="13" t="s">
        <v>30</v>
      </c>
      <c r="I15" s="14" t="s">
        <v>36</v>
      </c>
      <c r="J15" s="16">
        <v>1</v>
      </c>
      <c r="K15" s="15">
        <v>5</v>
      </c>
    </row>
    <row r="16" spans="5:11" ht="30.75" thickBot="1" x14ac:dyDescent="0.3">
      <c r="E16" s="12">
        <v>10</v>
      </c>
      <c r="F16" s="13"/>
      <c r="G16" s="13">
        <v>4</v>
      </c>
      <c r="H16" s="13" t="s">
        <v>25</v>
      </c>
      <c r="I16" s="14" t="s">
        <v>37</v>
      </c>
      <c r="J16" s="16">
        <v>45</v>
      </c>
      <c r="K16" s="15">
        <v>180</v>
      </c>
    </row>
    <row r="17" spans="5:11" ht="120.75" thickBot="1" x14ac:dyDescent="0.3">
      <c r="E17" s="12">
        <v>11</v>
      </c>
      <c r="F17" s="13"/>
      <c r="G17" s="13">
        <v>5</v>
      </c>
      <c r="H17" s="13" t="s">
        <v>25</v>
      </c>
      <c r="I17" s="14" t="s">
        <v>38</v>
      </c>
      <c r="J17" s="16">
        <v>28</v>
      </c>
      <c r="K17" s="15">
        <v>140</v>
      </c>
    </row>
    <row r="18" spans="5:11" ht="135.75" thickBot="1" x14ac:dyDescent="0.3">
      <c r="E18" s="12">
        <v>12</v>
      </c>
      <c r="F18" s="13"/>
      <c r="G18" s="13">
        <v>4</v>
      </c>
      <c r="H18" s="13" t="s">
        <v>25</v>
      </c>
      <c r="I18" s="14" t="s">
        <v>39</v>
      </c>
      <c r="J18" s="16">
        <v>37</v>
      </c>
      <c r="K18" s="15">
        <v>148</v>
      </c>
    </row>
    <row r="19" spans="5:11" ht="45.75" thickBot="1" x14ac:dyDescent="0.3">
      <c r="E19" s="12">
        <v>13</v>
      </c>
      <c r="F19" s="13"/>
      <c r="G19" s="13">
        <v>1</v>
      </c>
      <c r="H19" s="13" t="s">
        <v>25</v>
      </c>
      <c r="I19" s="14" t="s">
        <v>40</v>
      </c>
      <c r="J19" s="16">
        <v>57</v>
      </c>
      <c r="K19" s="15">
        <v>57</v>
      </c>
    </row>
    <row r="20" spans="5:11" ht="30.75" thickBot="1" x14ac:dyDescent="0.3">
      <c r="E20" s="12">
        <v>14</v>
      </c>
      <c r="F20" s="13"/>
      <c r="G20" s="13">
        <v>40</v>
      </c>
      <c r="H20" s="13" t="s">
        <v>25</v>
      </c>
      <c r="I20" s="14" t="s">
        <v>41</v>
      </c>
      <c r="J20" s="16">
        <v>2.5</v>
      </c>
      <c r="K20" s="15">
        <v>100</v>
      </c>
    </row>
    <row r="21" spans="5:11" ht="30.75" thickBot="1" x14ac:dyDescent="0.3">
      <c r="E21" s="12">
        <v>15</v>
      </c>
      <c r="F21" s="13"/>
      <c r="G21" s="13">
        <v>2</v>
      </c>
      <c r="H21" s="13" t="s">
        <v>25</v>
      </c>
      <c r="I21" s="14" t="s">
        <v>42</v>
      </c>
      <c r="J21" s="16">
        <v>28</v>
      </c>
      <c r="K21" s="15">
        <v>56</v>
      </c>
    </row>
    <row r="22" spans="5:11" ht="30.75" thickBot="1" x14ac:dyDescent="0.3">
      <c r="E22" s="12">
        <v>16</v>
      </c>
      <c r="F22" s="13"/>
      <c r="G22" s="13">
        <v>8</v>
      </c>
      <c r="H22" s="13" t="s">
        <v>25</v>
      </c>
      <c r="I22" s="14" t="s">
        <v>43</v>
      </c>
      <c r="J22" s="16">
        <v>15</v>
      </c>
      <c r="K22" s="15">
        <v>120</v>
      </c>
    </row>
    <row r="23" spans="5:11" ht="15.75" thickBot="1" x14ac:dyDescent="0.3">
      <c r="E23" s="12">
        <v>17</v>
      </c>
      <c r="F23" s="13"/>
      <c r="G23" s="13">
        <v>3</v>
      </c>
      <c r="H23" s="13" t="s">
        <v>25</v>
      </c>
      <c r="I23" s="14" t="s">
        <v>44</v>
      </c>
      <c r="J23" s="16">
        <v>30</v>
      </c>
      <c r="K23" s="15">
        <v>90</v>
      </c>
    </row>
    <row r="24" spans="5:11" ht="30.75" thickBot="1" x14ac:dyDescent="0.3">
      <c r="E24" s="12">
        <v>18</v>
      </c>
      <c r="F24" s="13"/>
      <c r="G24" s="13">
        <v>2</v>
      </c>
      <c r="H24" s="13" t="s">
        <v>25</v>
      </c>
      <c r="I24" s="14" t="s">
        <v>45</v>
      </c>
      <c r="J24" s="16">
        <v>30</v>
      </c>
      <c r="K24" s="15">
        <v>60</v>
      </c>
    </row>
    <row r="25" spans="5:11" ht="45.75" thickBot="1" x14ac:dyDescent="0.3">
      <c r="E25" s="12">
        <v>19</v>
      </c>
      <c r="F25" s="13"/>
      <c r="G25" s="13">
        <v>4</v>
      </c>
      <c r="H25" s="13" t="s">
        <v>25</v>
      </c>
      <c r="I25" s="14" t="s">
        <v>46</v>
      </c>
      <c r="J25" s="16">
        <v>32</v>
      </c>
      <c r="K25" s="15">
        <v>128</v>
      </c>
    </row>
    <row r="26" spans="5:11" ht="30.75" thickBot="1" x14ac:dyDescent="0.3">
      <c r="E26" s="12">
        <v>20</v>
      </c>
      <c r="F26" s="13"/>
      <c r="G26" s="13">
        <v>1</v>
      </c>
      <c r="H26" s="13" t="s">
        <v>25</v>
      </c>
      <c r="I26" s="14" t="s">
        <v>47</v>
      </c>
      <c r="J26" s="16">
        <v>23</v>
      </c>
      <c r="K26" s="15">
        <v>23</v>
      </c>
    </row>
    <row r="27" spans="5:11" ht="30.75" thickBot="1" x14ac:dyDescent="0.3">
      <c r="E27" s="12">
        <v>21</v>
      </c>
      <c r="F27" s="13"/>
      <c r="G27" s="13">
        <v>1</v>
      </c>
      <c r="H27" s="13" t="s">
        <v>25</v>
      </c>
      <c r="I27" s="14" t="s">
        <v>48</v>
      </c>
      <c r="J27" s="16">
        <v>23</v>
      </c>
      <c r="K27" s="15">
        <v>23</v>
      </c>
    </row>
    <row r="28" spans="5:11" ht="30.75" thickBot="1" x14ac:dyDescent="0.3">
      <c r="E28" s="12">
        <v>22</v>
      </c>
      <c r="F28" s="13"/>
      <c r="G28" s="13">
        <v>1</v>
      </c>
      <c r="H28" s="13" t="s">
        <v>25</v>
      </c>
      <c r="I28" s="14" t="s">
        <v>49</v>
      </c>
      <c r="J28" s="16">
        <v>23</v>
      </c>
      <c r="K28" s="15">
        <v>23</v>
      </c>
    </row>
    <row r="29" spans="5:11" ht="60.75" thickBot="1" x14ac:dyDescent="0.3">
      <c r="E29" s="12">
        <v>23</v>
      </c>
      <c r="F29" s="13"/>
      <c r="G29" s="13">
        <v>1</v>
      </c>
      <c r="H29" s="13" t="s">
        <v>25</v>
      </c>
      <c r="I29" s="14" t="s">
        <v>50</v>
      </c>
      <c r="J29" s="16">
        <v>349.9</v>
      </c>
      <c r="K29" s="15">
        <v>349.9</v>
      </c>
    </row>
    <row r="30" spans="5:11" ht="60.75" thickBot="1" x14ac:dyDescent="0.3">
      <c r="E30" s="12">
        <v>24</v>
      </c>
      <c r="F30" s="13"/>
      <c r="G30" s="13">
        <v>2</v>
      </c>
      <c r="H30" s="13" t="s">
        <v>25</v>
      </c>
      <c r="I30" s="14" t="s">
        <v>51</v>
      </c>
      <c r="J30" s="16">
        <v>76</v>
      </c>
      <c r="K30" s="15">
        <v>152</v>
      </c>
    </row>
    <row r="31" spans="5:11" ht="45.75" thickBot="1" x14ac:dyDescent="0.3">
      <c r="E31" s="12">
        <v>25</v>
      </c>
      <c r="F31" s="13"/>
      <c r="G31" s="13">
        <v>2</v>
      </c>
      <c r="H31" s="13" t="s">
        <v>25</v>
      </c>
      <c r="I31" s="14" t="s">
        <v>52</v>
      </c>
      <c r="J31" s="16">
        <v>170</v>
      </c>
      <c r="K31" s="15">
        <v>340</v>
      </c>
    </row>
    <row r="32" spans="5:11" ht="46.5" thickBot="1" x14ac:dyDescent="0.3">
      <c r="E32" s="12">
        <v>26</v>
      </c>
      <c r="F32" s="13"/>
      <c r="G32" s="13">
        <v>4</v>
      </c>
      <c r="H32" s="13" t="s">
        <v>25</v>
      </c>
      <c r="I32" s="14" t="s">
        <v>53</v>
      </c>
      <c r="J32" s="16">
        <v>849.9</v>
      </c>
      <c r="K32" s="15">
        <v>3399.6</v>
      </c>
    </row>
    <row r="33" spans="5:11" ht="15.75" thickBot="1" x14ac:dyDescent="0.3">
      <c r="E33" s="12">
        <v>27</v>
      </c>
      <c r="F33" s="13"/>
      <c r="G33" s="13">
        <v>4</v>
      </c>
      <c r="H33" s="13" t="s">
        <v>25</v>
      </c>
      <c r="I33" s="14" t="s">
        <v>54</v>
      </c>
      <c r="J33" s="16">
        <v>6</v>
      </c>
      <c r="K33" s="15">
        <v>24</v>
      </c>
    </row>
    <row r="34" spans="5:11" ht="15.75" thickBot="1" x14ac:dyDescent="0.3">
      <c r="E34" s="12">
        <v>28</v>
      </c>
      <c r="F34" s="13"/>
      <c r="G34" s="13">
        <v>2</v>
      </c>
      <c r="H34" s="13" t="s">
        <v>25</v>
      </c>
      <c r="I34" s="14" t="s">
        <v>55</v>
      </c>
      <c r="J34" s="16">
        <v>2</v>
      </c>
      <c r="K34" s="15">
        <v>4</v>
      </c>
    </row>
    <row r="35" spans="5:11" ht="15.75" thickBot="1" x14ac:dyDescent="0.3">
      <c r="E35" s="12">
        <v>29</v>
      </c>
      <c r="F35" s="13"/>
      <c r="G35" s="13">
        <v>3</v>
      </c>
      <c r="H35" s="13" t="s">
        <v>25</v>
      </c>
      <c r="I35" s="14" t="s">
        <v>56</v>
      </c>
      <c r="J35" s="16">
        <v>13</v>
      </c>
      <c r="K35" s="15">
        <v>39</v>
      </c>
    </row>
    <row r="36" spans="5:11" ht="15.75" thickBot="1" x14ac:dyDescent="0.3">
      <c r="E36" s="12">
        <v>30</v>
      </c>
      <c r="F36" s="13"/>
      <c r="G36" s="13">
        <v>10</v>
      </c>
      <c r="H36" s="13" t="s">
        <v>25</v>
      </c>
      <c r="I36" s="14" t="s">
        <v>57</v>
      </c>
      <c r="J36" s="16">
        <v>0.2</v>
      </c>
      <c r="K36" s="15">
        <v>2</v>
      </c>
    </row>
    <row r="37" spans="5:11" ht="15.75" thickBot="1" x14ac:dyDescent="0.3">
      <c r="E37" s="12">
        <v>31</v>
      </c>
      <c r="F37" s="13"/>
      <c r="G37" s="13">
        <v>4</v>
      </c>
      <c r="H37" s="13" t="s">
        <v>25</v>
      </c>
      <c r="I37" s="14" t="s">
        <v>58</v>
      </c>
      <c r="J37" s="16">
        <v>0.2</v>
      </c>
      <c r="K37" s="15">
        <v>0.8</v>
      </c>
    </row>
    <row r="38" spans="5:11" ht="75.75" thickBot="1" x14ac:dyDescent="0.3">
      <c r="E38" s="12">
        <v>32</v>
      </c>
      <c r="F38" s="13"/>
      <c r="G38" s="13">
        <v>1</v>
      </c>
      <c r="H38" s="13" t="s">
        <v>25</v>
      </c>
      <c r="I38" s="14" t="s">
        <v>59</v>
      </c>
      <c r="J38" s="16">
        <v>930</v>
      </c>
      <c r="K38" s="15">
        <v>930</v>
      </c>
    </row>
    <row r="39" spans="5:11" ht="45.75" thickBot="1" x14ac:dyDescent="0.3">
      <c r="E39" s="12">
        <v>33</v>
      </c>
      <c r="F39" s="13"/>
      <c r="G39" s="13">
        <v>2</v>
      </c>
      <c r="H39" s="13" t="s">
        <v>25</v>
      </c>
      <c r="I39" s="14" t="s">
        <v>60</v>
      </c>
      <c r="J39" s="16">
        <v>15</v>
      </c>
      <c r="K39" s="15">
        <v>30</v>
      </c>
    </row>
    <row r="40" spans="5:11" ht="15.75" thickBot="1" x14ac:dyDescent="0.3">
      <c r="E40" s="12">
        <v>34</v>
      </c>
      <c r="F40" s="13"/>
      <c r="G40" s="13">
        <v>3</v>
      </c>
      <c r="H40" s="13" t="s">
        <v>25</v>
      </c>
      <c r="I40" s="14" t="s">
        <v>61</v>
      </c>
      <c r="J40" s="16">
        <v>41</v>
      </c>
      <c r="K40" s="15">
        <v>123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Geral</vt:lpstr>
      <vt:lpstr>DFT</vt:lpstr>
      <vt:lpstr>DFT 2</vt:lpstr>
      <vt:lpstr>TR 1</vt:lpstr>
      <vt:lpstr>TR 2</vt:lpstr>
      <vt:lpstr>Werner</vt:lpstr>
      <vt:lpstr>DFT!Area_de_impressao</vt:lpstr>
      <vt:lpstr>'DFT 2'!Area_de_impressao</vt:lpstr>
      <vt:lpstr>Geral!Area_de_impressao</vt:lpstr>
      <vt:lpstr>'TR 1'!Area_de_impressao</vt:lpstr>
      <vt:lpstr>'TR 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NOGUEIRA DA SILVA</dc:creator>
  <cp:lastModifiedBy>RenatoNSilva</cp:lastModifiedBy>
  <cp:lastPrinted>2025-10-16T21:12:03Z</cp:lastPrinted>
  <dcterms:created xsi:type="dcterms:W3CDTF">2015-06-05T18:19:34Z</dcterms:created>
  <dcterms:modified xsi:type="dcterms:W3CDTF">2025-10-22T12:45:56Z</dcterms:modified>
</cp:coreProperties>
</file>